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Work\StartTest\IIoT.SmartAssistant\IIoT.SmartAssistant.Server\Data\"/>
    </mc:Choice>
  </mc:AlternateContent>
  <xr:revisionPtr revIDLastSave="0" documentId="8_{70C39FE2-05E7-4B26-9362-D3A85C84DDE9}" xr6:coauthVersionLast="47" xr6:coauthVersionMax="47" xr10:uidLastSave="{00000000-0000-0000-0000-000000000000}"/>
  <bookViews>
    <workbookView xWindow="5145" yWindow="3795" windowWidth="28800" windowHeight="15345" xr2:uid="{00000000-000D-0000-FFFF-FFFF00000000}"/>
  </bookViews>
  <sheets>
    <sheet name="汇总" sheetId="1" r:id="rId1"/>
    <sheet name="潘德胜" sheetId="5" r:id="rId2"/>
    <sheet name="刘剑" sheetId="17" r:id="rId3"/>
    <sheet name="何兆辉" sheetId="18" r:id="rId4"/>
    <sheet name="周俊杰" sheetId="19" r:id="rId5"/>
    <sheet name="张关南" sheetId="20" r:id="rId6"/>
    <sheet name="郑枫" sheetId="25" r:id="rId7"/>
    <sheet name="麦国鹏" sheetId="27" r:id="rId8"/>
    <sheet name="廖曦龙" sheetId="28" r:id="rId9"/>
    <sheet name="许川" sheetId="29" r:id="rId10"/>
    <sheet name="黄初旺" sheetId="30" r:id="rId11"/>
  </sheets>
  <definedNames>
    <definedName name="_xlnm.Print_Area" localSheetId="0">汇总!$A$1:$J$12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8" l="1"/>
  <c r="F21" i="18"/>
  <c r="F22" i="18"/>
  <c r="F23" i="18"/>
  <c r="F24" i="18"/>
  <c r="F25" i="18"/>
  <c r="F26" i="18"/>
  <c r="F27" i="18"/>
  <c r="F28" i="18"/>
  <c r="F29" i="18"/>
  <c r="F30" i="18"/>
  <c r="F31" i="18"/>
  <c r="F33" i="18"/>
  <c r="C5" i="1" s="1"/>
  <c r="B16" i="28"/>
  <c r="F14" i="17"/>
  <c r="F15" i="17"/>
  <c r="F10" i="29"/>
  <c r="F11" i="29"/>
  <c r="F22" i="29"/>
  <c r="C11" i="1" s="1"/>
  <c r="F25" i="28"/>
  <c r="D10" i="1" s="1"/>
  <c r="F16" i="18"/>
  <c r="B5" i="28"/>
  <c r="B6" i="28"/>
  <c r="B7" i="28"/>
  <c r="B8" i="28"/>
  <c r="B9" i="28"/>
  <c r="B10" i="28"/>
  <c r="B11" i="28"/>
  <c r="B12" i="28"/>
  <c r="B13" i="28"/>
  <c r="B14" i="28"/>
  <c r="B15" i="28"/>
  <c r="B4" i="28"/>
  <c r="F5" i="30"/>
  <c r="F6" i="30"/>
  <c r="F19" i="30" s="1"/>
  <c r="F7" i="30"/>
  <c r="F8" i="30"/>
  <c r="F9" i="30"/>
  <c r="F10" i="30"/>
  <c r="F11" i="30"/>
  <c r="F12" i="30"/>
  <c r="F13" i="30"/>
  <c r="F14" i="30"/>
  <c r="F15" i="30"/>
  <c r="F16" i="30"/>
  <c r="F17" i="30"/>
  <c r="F8" i="29"/>
  <c r="F12" i="29"/>
  <c r="F13" i="29"/>
  <c r="F14" i="29"/>
  <c r="F15" i="29"/>
  <c r="F16" i="29"/>
  <c r="F21" i="29" s="1"/>
  <c r="F17" i="29"/>
  <c r="F18" i="29"/>
  <c r="F6" i="28"/>
  <c r="F7" i="28"/>
  <c r="F8" i="28"/>
  <c r="F9" i="28"/>
  <c r="F10" i="28"/>
  <c r="F11" i="28"/>
  <c r="F12" i="28"/>
  <c r="F23" i="28" s="1"/>
  <c r="F13" i="28"/>
  <c r="F14" i="28"/>
  <c r="F16" i="28"/>
  <c r="F17" i="28"/>
  <c r="F18" i="28"/>
  <c r="F19" i="28"/>
  <c r="F24" i="28" s="1"/>
  <c r="C10" i="1" s="1"/>
  <c r="F20" i="28"/>
  <c r="F21" i="28"/>
  <c r="F22" i="28"/>
  <c r="F5" i="25"/>
  <c r="F7" i="25"/>
  <c r="F9" i="25"/>
  <c r="F11" i="25"/>
  <c r="F12" i="25"/>
  <c r="F14" i="25"/>
  <c r="F15" i="25"/>
  <c r="F27" i="25" s="1"/>
  <c r="F16" i="25"/>
  <c r="F17" i="25"/>
  <c r="F18" i="25"/>
  <c r="F23" i="20"/>
  <c r="F24" i="20"/>
  <c r="F25" i="20"/>
  <c r="F27" i="20"/>
  <c r="D7" i="1" s="1"/>
  <c r="F6" i="20"/>
  <c r="F7" i="20"/>
  <c r="F8" i="20"/>
  <c r="F9" i="20"/>
  <c r="F11" i="20"/>
  <c r="F12" i="20"/>
  <c r="F13" i="20"/>
  <c r="F14" i="20"/>
  <c r="F15" i="20"/>
  <c r="F21" i="20"/>
  <c r="F22" i="20"/>
  <c r="F26" i="19"/>
  <c r="F6" i="19"/>
  <c r="F7" i="19"/>
  <c r="F8" i="19"/>
  <c r="F24" i="19" s="1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5" i="17"/>
  <c r="F6" i="17"/>
  <c r="F27" i="17" s="1"/>
  <c r="C4" i="1" s="1"/>
  <c r="F7" i="17"/>
  <c r="F28" i="17" s="1"/>
  <c r="D4" i="1" s="1"/>
  <c r="F8" i="17"/>
  <c r="F9" i="17"/>
  <c r="F10" i="17"/>
  <c r="F12" i="17"/>
  <c r="F16" i="17"/>
  <c r="F17" i="17"/>
  <c r="F18" i="17"/>
  <c r="F5" i="5"/>
  <c r="F6" i="5"/>
  <c r="F7" i="5"/>
  <c r="F8" i="5"/>
  <c r="F9" i="5"/>
  <c r="F11" i="5"/>
  <c r="F12" i="5"/>
  <c r="F13" i="5"/>
  <c r="F14" i="5"/>
  <c r="F26" i="20"/>
  <c r="C7" i="1" s="1"/>
  <c r="F4" i="30"/>
  <c r="F20" i="30"/>
  <c r="C12" i="1" s="1"/>
  <c r="F4" i="29"/>
  <c r="F4" i="25"/>
  <c r="F25" i="19"/>
  <c r="C6" i="1" s="1"/>
  <c r="F4" i="5"/>
  <c r="F26" i="5" s="1"/>
  <c r="D6" i="1"/>
  <c r="B4" i="19"/>
  <c r="B5" i="19"/>
  <c r="B6" i="19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8" i="5"/>
  <c r="B18" i="29"/>
  <c r="B17" i="29"/>
  <c r="F19" i="29"/>
  <c r="B19" i="29"/>
  <c r="B16" i="30"/>
  <c r="B15" i="30"/>
  <c r="B7" i="19"/>
  <c r="F20" i="29"/>
  <c r="B5" i="29"/>
  <c r="B6" i="29"/>
  <c r="B7" i="29"/>
  <c r="B8" i="29"/>
  <c r="B9" i="29"/>
  <c r="B10" i="29"/>
  <c r="B11" i="29"/>
  <c r="B12" i="29"/>
  <c r="B13" i="29"/>
  <c r="B14" i="29"/>
  <c r="B15" i="29"/>
  <c r="B16" i="29"/>
  <c r="B20" i="29"/>
  <c r="F21" i="30"/>
  <c r="D12" i="1" s="1"/>
  <c r="B5" i="30"/>
  <c r="B6" i="30"/>
  <c r="B7" i="30"/>
  <c r="B8" i="30"/>
  <c r="B9" i="30"/>
  <c r="B10" i="30"/>
  <c r="B11" i="30"/>
  <c r="B12" i="30"/>
  <c r="B13" i="30"/>
  <c r="B14" i="30"/>
  <c r="B17" i="30"/>
  <c r="B18" i="30"/>
  <c r="B4" i="30"/>
  <c r="F4" i="27"/>
  <c r="F17" i="27" s="1"/>
  <c r="F4" i="18"/>
  <c r="B22" i="20"/>
  <c r="F5" i="27"/>
  <c r="F18" i="27"/>
  <c r="C9" i="1" s="1"/>
  <c r="F14" i="18"/>
  <c r="F32" i="18" s="1"/>
  <c r="F5" i="18"/>
  <c r="F6" i="18"/>
  <c r="F7" i="18"/>
  <c r="F8" i="18"/>
  <c r="F9" i="18"/>
  <c r="F10" i="18"/>
  <c r="F11" i="18"/>
  <c r="F12" i="18"/>
  <c r="F13" i="18"/>
  <c r="F15" i="18"/>
  <c r="F34" i="18"/>
  <c r="D5" i="1"/>
  <c r="B11" i="18"/>
  <c r="B10" i="18"/>
  <c r="F23" i="29"/>
  <c r="D11" i="1" s="1"/>
  <c r="B4" i="29"/>
  <c r="B7" i="27"/>
  <c r="B8" i="27"/>
  <c r="B9" i="27"/>
  <c r="B10" i="27"/>
  <c r="F29" i="25"/>
  <c r="D8" i="1" s="1"/>
  <c r="F19" i="25"/>
  <c r="F20" i="25"/>
  <c r="F21" i="25"/>
  <c r="F22" i="25"/>
  <c r="F28" i="25" s="1"/>
  <c r="C8" i="1" s="1"/>
  <c r="F23" i="25"/>
  <c r="F24" i="25"/>
  <c r="F25" i="25"/>
  <c r="F26" i="25"/>
  <c r="B18" i="5"/>
  <c r="B19" i="5"/>
  <c r="B20" i="5"/>
  <c r="B21" i="5"/>
  <c r="B22" i="5"/>
  <c r="B23" i="5"/>
  <c r="B24" i="5"/>
  <c r="B25" i="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19" i="20"/>
  <c r="B20" i="20"/>
  <c r="B21" i="20"/>
  <c r="B23" i="20"/>
  <c r="B24" i="20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F23" i="19"/>
  <c r="B15" i="17"/>
  <c r="B16" i="17"/>
  <c r="B17" i="17"/>
  <c r="B18" i="17"/>
  <c r="B19" i="17"/>
  <c r="B20" i="17"/>
  <c r="B21" i="17"/>
  <c r="B22" i="17"/>
  <c r="B23" i="17"/>
  <c r="B24" i="17"/>
  <c r="B25" i="17"/>
  <c r="F18" i="5"/>
  <c r="F19" i="5"/>
  <c r="F20" i="5"/>
  <c r="F21" i="5"/>
  <c r="F22" i="5"/>
  <c r="F23" i="5"/>
  <c r="F24" i="5"/>
  <c r="F25" i="5"/>
  <c r="F15" i="5"/>
  <c r="F16" i="5"/>
  <c r="F17" i="5"/>
  <c r="B15" i="5"/>
  <c r="B16" i="5"/>
  <c r="B17" i="5"/>
  <c r="B14" i="5"/>
  <c r="F17" i="18"/>
  <c r="F18" i="18"/>
  <c r="F19" i="18"/>
  <c r="F28" i="5"/>
  <c r="D3" i="1" s="1"/>
  <c r="F10" i="27"/>
  <c r="F9" i="27"/>
  <c r="F8" i="27"/>
  <c r="F7" i="27"/>
  <c r="F6" i="27"/>
  <c r="B6" i="27"/>
  <c r="B5" i="27"/>
  <c r="B4" i="27"/>
  <c r="B4" i="25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9" i="18"/>
  <c r="B8" i="18"/>
  <c r="B7" i="18"/>
  <c r="B6" i="18"/>
  <c r="B5" i="18"/>
  <c r="B4" i="18"/>
  <c r="F25" i="17"/>
  <c r="F24" i="17"/>
  <c r="F23" i="17"/>
  <c r="F22" i="17"/>
  <c r="F21" i="17"/>
  <c r="F20" i="17"/>
  <c r="F19" i="17"/>
  <c r="B14" i="17"/>
  <c r="B13" i="17"/>
  <c r="B12" i="17"/>
  <c r="B11" i="17"/>
  <c r="B10" i="17"/>
  <c r="B9" i="17"/>
  <c r="B8" i="17"/>
  <c r="B7" i="17"/>
  <c r="B6" i="17"/>
  <c r="B5" i="17"/>
  <c r="B4" i="17"/>
  <c r="B13" i="5"/>
  <c r="B12" i="5"/>
  <c r="B11" i="5"/>
  <c r="B10" i="5"/>
  <c r="B9" i="5"/>
  <c r="B7" i="5"/>
  <c r="B6" i="5"/>
  <c r="B5" i="5"/>
  <c r="B4" i="5"/>
  <c r="F19" i="27"/>
  <c r="D9" i="1"/>
  <c r="F27" i="5"/>
  <c r="C3" i="1" s="1"/>
  <c r="F26" i="17" l="1"/>
</calcChain>
</file>

<file path=xl/sharedStrings.xml><?xml version="1.0" encoding="utf-8"?>
<sst xmlns="http://schemas.openxmlformats.org/spreadsheetml/2006/main" count="263" uniqueCount="80">
  <si>
    <t>编号</t>
  </si>
  <si>
    <t>姓名</t>
  </si>
  <si>
    <t>备注</t>
  </si>
  <si>
    <t>潘德胜</t>
  </si>
  <si>
    <t>刘剑</t>
  </si>
  <si>
    <t>何兆辉</t>
  </si>
  <si>
    <t>周俊杰</t>
  </si>
  <si>
    <t>张关南</t>
  </si>
  <si>
    <t>郑枫</t>
  </si>
  <si>
    <t>麦国鹏</t>
  </si>
  <si>
    <t>廖曦龙</t>
  </si>
  <si>
    <t>资讯课加班表</t>
  </si>
  <si>
    <t>姓名：潘德胜</t>
  </si>
  <si>
    <t>备注：节日用1表示，非节日留空</t>
  </si>
  <si>
    <t>日期</t>
  </si>
  <si>
    <t>星期</t>
  </si>
  <si>
    <t>节日</t>
  </si>
  <si>
    <t>开始时间</t>
  </si>
  <si>
    <t>结束时间</t>
  </si>
  <si>
    <t>加班时长(H)</t>
  </si>
  <si>
    <t>加班原因</t>
  </si>
  <si>
    <t>合计（H）</t>
  </si>
  <si>
    <t>平时加班合计（H）</t>
  </si>
  <si>
    <t>假日加班合计（H）</t>
  </si>
  <si>
    <t>姓名：刘剑</t>
  </si>
  <si>
    <t xml:space="preserve"> </t>
  </si>
  <si>
    <t>姓名：何兆辉</t>
  </si>
  <si>
    <t>姓名：周俊杰</t>
  </si>
  <si>
    <t>姓名：张关南</t>
  </si>
  <si>
    <t>姓名：郑枫</t>
  </si>
  <si>
    <t>姓名：麦国鹏</t>
  </si>
  <si>
    <t>姓名：廖曦龙</t>
  </si>
  <si>
    <t>姓名：许川</t>
    <phoneticPr fontId="14" type="noConversion"/>
  </si>
  <si>
    <t>许川</t>
    <phoneticPr fontId="14" type="noConversion"/>
  </si>
  <si>
    <t>姓名：黄初旺</t>
    <phoneticPr fontId="14" type="noConversion"/>
  </si>
  <si>
    <t>黄初旺</t>
    <phoneticPr fontId="14" type="noConversion"/>
  </si>
  <si>
    <t>平时
加班
(天)</t>
    <phoneticPr fontId="14" type="noConversion"/>
  </si>
  <si>
    <t>假日
加班
(天)</t>
    <phoneticPr fontId="14" type="noConversion"/>
  </si>
  <si>
    <t>迟到
(天)</t>
    <phoneticPr fontId="14" type="noConversion"/>
  </si>
  <si>
    <t>停工
待料
(天)</t>
    <phoneticPr fontId="14" type="noConversion"/>
  </si>
  <si>
    <t>请假
(天)</t>
    <phoneticPr fontId="14" type="noConversion"/>
  </si>
  <si>
    <t>休假
(天)</t>
    <phoneticPr fontId="14" type="noConversion"/>
  </si>
  <si>
    <t>上月预留
加班时间
（天）</t>
    <phoneticPr fontId="14" type="noConversion"/>
  </si>
  <si>
    <t>资讯课2024年9月考勤统计</t>
    <phoneticPr fontId="14" type="noConversion"/>
  </si>
  <si>
    <t>月饼数据统计</t>
  </si>
  <si>
    <t>程序开发</t>
  </si>
  <si>
    <t>数字化开发</t>
  </si>
  <si>
    <t>南昌工厂盘点跟踪与易耗品初始化</t>
  </si>
  <si>
    <t>南昌工厂易耗品初始化数据核对</t>
  </si>
  <si>
    <t>南昌工厂数字化上线</t>
  </si>
  <si>
    <t>南昌工厂数字化上线 食材初始化资料准备</t>
  </si>
  <si>
    <t>南昌工厂食材初始化准备工作➕网络排查协助</t>
  </si>
  <si>
    <t>南昌工厂数字化食材部分初始化</t>
  </si>
  <si>
    <t>南昌数字化上线</t>
  </si>
  <si>
    <t>值班</t>
  </si>
  <si>
    <t>战情报表问题跟进</t>
  </si>
  <si>
    <t>数字化事项跟进</t>
  </si>
  <si>
    <t>路由问题跟进</t>
  </si>
  <si>
    <t>路由访问问题跟进</t>
  </si>
  <si>
    <t>人资中秋活动支援</t>
  </si>
  <si>
    <t>仓库初始化</t>
  </si>
  <si>
    <t>数字化配置</t>
  </si>
  <si>
    <t>数字化开发加班</t>
  </si>
  <si>
    <t>南昌工厂包材仓库盘点、低耗品仓库初始化</t>
  </si>
  <si>
    <t>核对南昌工厂低耗品仓库数据</t>
  </si>
  <si>
    <t>南昌工厂数字化系统上线</t>
  </si>
  <si>
    <t>周六值班</t>
  </si>
  <si>
    <t>出差南昌工厂回程</t>
  </si>
  <si>
    <t>中秋假期值班</t>
  </si>
  <si>
    <t>生产系统开发</t>
  </si>
  <si>
    <t>11号调休0.5小时，已从加班时间扣</t>
    <phoneticPr fontId="14" type="noConversion"/>
  </si>
  <si>
    <t>18号早上调休0.5小时、下午调休2小时，已从加班时间扣</t>
    <phoneticPr fontId="14" type="noConversion"/>
  </si>
  <si>
    <t>14号休年假0.5天</t>
    <phoneticPr fontId="14" type="noConversion"/>
  </si>
  <si>
    <t>14号休年假0.5天；14号请假0.5小时；14号调休3.5小时，已从加班时间扣</t>
    <phoneticPr fontId="14" type="noConversion"/>
  </si>
  <si>
    <t>14号休年假1天</t>
    <phoneticPr fontId="14" type="noConversion"/>
  </si>
  <si>
    <t>二楼会议室场地布置</t>
  </si>
  <si>
    <t>顺德工厂数字化上线</t>
  </si>
  <si>
    <t>数字化优化开发</t>
  </si>
  <si>
    <t>数字化报表开发</t>
  </si>
  <si>
    <t>数字化仓库规划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</si>
</sst>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804]aaaa;@"/>
    <numFmt numFmtId="177" formatCode="h:mm;@"/>
    <numFmt numFmtId="178" formatCode="0.0_);[Red]\(0.0\)"/>
    <numFmt numFmtId="179" formatCode="0.00_);[Red]\(0.00\)"/>
  </numFmts>
  <fonts count="18" x14ac:knownFonts="1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rgb="FF000000"/>
      <name val="宋体"/>
      <family val="3"/>
      <charset val="134"/>
    </font>
    <font>
      <sz val="10"/>
      <color rgb="FF333333"/>
      <name val="Arial"/>
      <family val="2"/>
    </font>
    <font>
      <sz val="11"/>
      <color rgb="FF333333"/>
      <name val="宋体"/>
      <family val="3"/>
      <charset val="134"/>
      <scheme val="minor"/>
    </font>
    <font>
      <sz val="11"/>
      <color rgb="FF333333"/>
      <name val="微软雅黑"/>
      <family val="2"/>
      <charset val="134"/>
    </font>
    <font>
      <sz val="11"/>
      <color rgb="FF444444"/>
      <name val="Tahoma"/>
      <family val="2"/>
    </font>
    <font>
      <sz val="14"/>
      <color rgb="FF222222"/>
      <name val="Arial"/>
      <family val="2"/>
    </font>
    <font>
      <sz val="12"/>
      <color theme="1"/>
      <name val="宋体"/>
      <family val="3"/>
      <charset val="134"/>
      <scheme val="minor"/>
    </font>
    <font>
      <b/>
      <sz val="18"/>
      <name val="宋体"/>
      <family val="3"/>
      <charset val="134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rgb="FF000000"/>
      <name val="宋体"/>
      <family val="3"/>
      <charset val="134"/>
    </font>
    <font>
      <sz val="1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52">
    <xf numFmtId="176" fontId="0" fillId="0" borderId="0" xfId="0">
      <alignment vertical="center"/>
    </xf>
    <xf numFmtId="0" fontId="0" fillId="0" borderId="0" xfId="0" applyNumberFormat="1">
      <alignment vertical="center"/>
    </xf>
    <xf numFmtId="176" fontId="4" fillId="0" borderId="1" xfId="0" applyFont="1" applyBorder="1">
      <alignment vertical="center"/>
    </xf>
    <xf numFmtId="0" fontId="4" fillId="0" borderId="1" xfId="0" applyNumberFormat="1" applyFont="1" applyBorder="1">
      <alignment vertical="center"/>
    </xf>
    <xf numFmtId="14" fontId="5" fillId="0" borderId="1" xfId="0" applyNumberFormat="1" applyFont="1" applyBorder="1">
      <alignment vertical="center"/>
    </xf>
    <xf numFmtId="176" fontId="5" fillId="0" borderId="1" xfId="0" applyFont="1" applyBorder="1">
      <alignment vertical="center"/>
    </xf>
    <xf numFmtId="20" fontId="5" fillId="0" borderId="1" xfId="0" applyNumberFormat="1" applyFont="1" applyBorder="1">
      <alignment vertical="center"/>
    </xf>
    <xf numFmtId="0" fontId="5" fillId="0" borderId="1" xfId="0" applyNumberFormat="1" applyFont="1" applyBorder="1">
      <alignment vertical="center"/>
    </xf>
    <xf numFmtId="176" fontId="6" fillId="0" borderId="0" xfId="0" applyFont="1">
      <alignment vertical="center"/>
    </xf>
    <xf numFmtId="14" fontId="4" fillId="0" borderId="1" xfId="0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176" fontId="4" fillId="0" borderId="1" xfId="0" applyFont="1" applyBorder="1" applyAlignment="1">
      <alignment horizontal="center" vertical="center"/>
    </xf>
    <xf numFmtId="176" fontId="7" fillId="0" borderId="0" xfId="0" applyFont="1">
      <alignment vertical="center"/>
    </xf>
    <xf numFmtId="176" fontId="8" fillId="0" borderId="0" xfId="0" applyFont="1">
      <alignment vertical="center"/>
    </xf>
    <xf numFmtId="176" fontId="9" fillId="0" borderId="0" xfId="0" applyFont="1">
      <alignment vertical="center"/>
    </xf>
    <xf numFmtId="176" fontId="10" fillId="0" borderId="1" xfId="0" applyFont="1" applyBorder="1">
      <alignment vertical="center"/>
    </xf>
    <xf numFmtId="176" fontId="11" fillId="0" borderId="1" xfId="0" applyFont="1" applyBorder="1" applyAlignment="1">
      <alignment horizontal="left" vertical="center" wrapText="1"/>
    </xf>
    <xf numFmtId="177" fontId="5" fillId="0" borderId="1" xfId="0" applyNumberFormat="1" applyFont="1" applyBorder="1">
      <alignment vertical="center"/>
    </xf>
    <xf numFmtId="176" fontId="5" fillId="0" borderId="1" xfId="0" applyFont="1" applyBorder="1" applyAlignment="1">
      <alignment vertical="center" wrapText="1"/>
    </xf>
    <xf numFmtId="176" fontId="11" fillId="0" borderId="1" xfId="0" applyFont="1" applyBorder="1" applyAlignment="1">
      <alignment horizontal="left" vertical="center"/>
    </xf>
    <xf numFmtId="176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left" vertical="center"/>
    </xf>
    <xf numFmtId="0" fontId="13" fillId="0" borderId="1" xfId="0" applyNumberFormat="1" applyFont="1" applyBorder="1" applyAlignment="1">
      <alignment horizontal="center" vertical="center"/>
    </xf>
    <xf numFmtId="176" fontId="13" fillId="0" borderId="1" xfId="0" applyFont="1" applyBorder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 wrapText="1"/>
    </xf>
    <xf numFmtId="176" fontId="13" fillId="0" borderId="1" xfId="0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Border="1">
      <alignment vertical="center"/>
    </xf>
    <xf numFmtId="0" fontId="13" fillId="0" borderId="0" xfId="0" applyNumberFormat="1" applyFont="1">
      <alignment vertical="center"/>
    </xf>
    <xf numFmtId="176" fontId="13" fillId="0" borderId="0" xfId="0" applyFont="1">
      <alignment vertical="center"/>
    </xf>
    <xf numFmtId="178" fontId="13" fillId="0" borderId="0" xfId="0" applyNumberFormat="1" applyFont="1">
      <alignment vertical="center"/>
    </xf>
    <xf numFmtId="176" fontId="12" fillId="0" borderId="0" xfId="0" applyFont="1">
      <alignment vertical="center"/>
    </xf>
    <xf numFmtId="176" fontId="0" fillId="0" borderId="0" xfId="0" applyAlignment="1"/>
    <xf numFmtId="178" fontId="13" fillId="0" borderId="1" xfId="0" applyNumberFormat="1" applyFont="1" applyBorder="1" applyAlignment="1">
      <alignment horizontal="left" vertical="center" wrapText="1"/>
    </xf>
    <xf numFmtId="178" fontId="11" fillId="0" borderId="1" xfId="0" applyNumberFormat="1" applyFont="1" applyBorder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177" fontId="16" fillId="0" borderId="1" xfId="0" applyNumberFormat="1" applyFont="1" applyBorder="1">
      <alignment vertical="center"/>
    </xf>
    <xf numFmtId="176" fontId="17" fillId="0" borderId="1" xfId="0" applyFont="1" applyBorder="1" applyAlignment="1">
      <alignment vertical="center" wrapText="1"/>
    </xf>
    <xf numFmtId="176" fontId="15" fillId="0" borderId="1" xfId="0" applyFont="1" applyBorder="1" applyAlignment="1">
      <alignment horizontal="left" vertical="center"/>
    </xf>
    <xf numFmtId="176" fontId="4" fillId="0" borderId="1" xfId="0" applyFont="1" applyBorder="1" applyAlignment="1">
      <alignment vertical="center" wrapText="1"/>
    </xf>
    <xf numFmtId="178" fontId="11" fillId="0" borderId="1" xfId="0" applyNumberFormat="1" applyFont="1" applyBorder="1" applyAlignment="1">
      <alignment horizontal="left" vertical="center" wrapText="1"/>
    </xf>
    <xf numFmtId="179" fontId="13" fillId="0" borderId="1" xfId="0" applyNumberFormat="1" applyFont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/>
    </xf>
    <xf numFmtId="179" fontId="13" fillId="0" borderId="0" xfId="0" applyNumberFormat="1" applyFont="1">
      <alignment vertical="center"/>
    </xf>
    <xf numFmtId="179" fontId="0" fillId="0" borderId="0" xfId="0" applyNumberFormat="1">
      <alignment vertical="center"/>
    </xf>
    <xf numFmtId="176" fontId="12" fillId="0" borderId="1" xfId="0" applyFont="1" applyBorder="1" applyAlignment="1">
      <alignment horizontal="center" vertical="center"/>
    </xf>
    <xf numFmtId="176" fontId="4" fillId="0" borderId="1" xfId="0" applyFont="1" applyBorder="1" applyAlignment="1">
      <alignment horizontal="center" vertical="center" wrapText="1"/>
    </xf>
    <xf numFmtId="176" fontId="1" fillId="0" borderId="1" xfId="0" applyFont="1" applyBorder="1" applyAlignment="1">
      <alignment horizontal="center" vertical="center"/>
    </xf>
    <xf numFmtId="176" fontId="2" fillId="0" borderId="1" xfId="0" applyFont="1" applyBorder="1" applyAlignment="1">
      <alignment horizontal="left" vertical="center"/>
    </xf>
    <xf numFmtId="176" fontId="3" fillId="0" borderId="1" xfId="0" applyFont="1" applyBorder="1" applyAlignment="1">
      <alignment horizontal="right" vertical="center"/>
    </xf>
    <xf numFmtId="176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4"/>
  <sheetViews>
    <sheetView tabSelected="1" zoomScaleNormal="100" workbookViewId="0">
      <selection sqref="A1:J1"/>
    </sheetView>
  </sheetViews>
  <sheetFormatPr defaultColWidth="9" defaultRowHeight="13.5" x14ac:dyDescent="0.15"/>
  <cols>
    <col min="1" max="1" width="8.75" style="1" customWidth="1"/>
    <col min="2" max="2" width="12" customWidth="1"/>
    <col min="3" max="4" width="7.75" style="21" bestFit="1" customWidth="1"/>
    <col min="5" max="5" width="7.75" style="21" customWidth="1"/>
    <col min="6" max="6" width="7.75" style="21" bestFit="1" customWidth="1"/>
    <col min="7" max="7" width="9.25" style="45" bestFit="1" customWidth="1"/>
    <col min="8" max="8" width="7.75" style="21" bestFit="1" customWidth="1"/>
    <col min="9" max="9" width="14.125" style="21" bestFit="1" customWidth="1"/>
    <col min="10" max="10" width="76" style="22" bestFit="1" customWidth="1"/>
  </cols>
  <sheetData>
    <row r="1" spans="1:16" ht="22.5" x14ac:dyDescent="0.15">
      <c r="A1" s="46" t="s">
        <v>43</v>
      </c>
      <c r="B1" s="46"/>
      <c r="C1" s="46"/>
      <c r="D1" s="46"/>
      <c r="E1" s="46"/>
      <c r="F1" s="46"/>
      <c r="G1" s="46"/>
      <c r="H1" s="46"/>
      <c r="I1" s="46"/>
      <c r="J1" s="46"/>
      <c r="K1" s="32"/>
      <c r="L1" s="32"/>
      <c r="M1" s="32"/>
      <c r="N1" s="32"/>
      <c r="O1" s="32"/>
      <c r="P1" s="33"/>
    </row>
    <row r="2" spans="1:16" ht="91.5" customHeight="1" x14ac:dyDescent="0.15">
      <c r="A2" s="23" t="s">
        <v>0</v>
      </c>
      <c r="B2" s="24" t="s">
        <v>1</v>
      </c>
      <c r="C2" s="25" t="s">
        <v>36</v>
      </c>
      <c r="D2" s="25" t="s">
        <v>37</v>
      </c>
      <c r="E2" s="25" t="s">
        <v>38</v>
      </c>
      <c r="F2" s="25" t="s">
        <v>39</v>
      </c>
      <c r="G2" s="42" t="s">
        <v>40</v>
      </c>
      <c r="H2" s="25" t="s">
        <v>41</v>
      </c>
      <c r="I2" s="25" t="s">
        <v>42</v>
      </c>
      <c r="J2" s="34" t="s">
        <v>2</v>
      </c>
    </row>
    <row r="3" spans="1:16" ht="22.5" x14ac:dyDescent="0.15">
      <c r="A3" s="23">
        <v>1</v>
      </c>
      <c r="B3" s="26" t="s">
        <v>3</v>
      </c>
      <c r="C3" s="25">
        <f>潘德胜!F27/8</f>
        <v>2.7749999999999999</v>
      </c>
      <c r="D3" s="25">
        <f>潘德胜!F28/8</f>
        <v>1.05</v>
      </c>
      <c r="E3" s="25"/>
      <c r="F3" s="27"/>
      <c r="G3" s="43"/>
      <c r="H3" s="27"/>
      <c r="I3" s="27"/>
      <c r="J3" s="35"/>
    </row>
    <row r="4" spans="1:16" ht="22.5" x14ac:dyDescent="0.15">
      <c r="A4" s="23">
        <v>2</v>
      </c>
      <c r="B4" s="26" t="s">
        <v>4</v>
      </c>
      <c r="C4" s="25">
        <f>刘剑!F27/8</f>
        <v>2.3125</v>
      </c>
      <c r="D4" s="25">
        <f>刘剑!F28/8</f>
        <v>2.7</v>
      </c>
      <c r="E4" s="25"/>
      <c r="F4" s="27"/>
      <c r="G4" s="43"/>
      <c r="H4" s="27">
        <v>1</v>
      </c>
      <c r="I4" s="27"/>
      <c r="J4" s="35" t="s">
        <v>74</v>
      </c>
    </row>
    <row r="5" spans="1:16" ht="22.5" x14ac:dyDescent="0.15">
      <c r="A5" s="23">
        <v>3</v>
      </c>
      <c r="B5" s="26" t="s">
        <v>5</v>
      </c>
      <c r="C5" s="25">
        <f>(何兆辉!F33/8)</f>
        <v>2.6124999999999998</v>
      </c>
      <c r="D5" s="25">
        <f>何兆辉!F34/8</f>
        <v>6.25E-2</v>
      </c>
      <c r="E5" s="25"/>
      <c r="F5" s="27"/>
      <c r="G5" s="43"/>
      <c r="H5" s="27"/>
      <c r="I5" s="27"/>
      <c r="J5" s="41" t="s">
        <v>70</v>
      </c>
    </row>
    <row r="6" spans="1:16" ht="22.5" x14ac:dyDescent="0.15">
      <c r="A6" s="23">
        <v>4</v>
      </c>
      <c r="B6" s="26" t="s">
        <v>6</v>
      </c>
      <c r="C6" s="25">
        <f>周俊杰!F25/8</f>
        <v>1.1625000000000001</v>
      </c>
      <c r="D6" s="25">
        <f>周俊杰!F26/8</f>
        <v>0</v>
      </c>
      <c r="E6" s="28"/>
      <c r="F6" s="27"/>
      <c r="G6" s="43"/>
      <c r="H6" s="27"/>
      <c r="I6" s="27"/>
      <c r="J6" s="35"/>
    </row>
    <row r="7" spans="1:16" s="20" customFormat="1" ht="22.5" x14ac:dyDescent="0.15">
      <c r="A7" s="23">
        <v>5</v>
      </c>
      <c r="B7" s="26" t="s">
        <v>7</v>
      </c>
      <c r="C7" s="25">
        <f>张关南!F26/8</f>
        <v>4.2125000000000004</v>
      </c>
      <c r="D7" s="25">
        <f>张关南!F27/8</f>
        <v>7</v>
      </c>
      <c r="E7" s="27"/>
      <c r="F7" s="27"/>
      <c r="G7" s="43"/>
      <c r="H7" s="27"/>
      <c r="I7" s="27"/>
      <c r="J7" s="35"/>
    </row>
    <row r="8" spans="1:16" ht="22.5" x14ac:dyDescent="0.15">
      <c r="A8" s="23">
        <v>6</v>
      </c>
      <c r="B8" s="26" t="s">
        <v>8</v>
      </c>
      <c r="C8" s="25">
        <f>郑枫!F28/8</f>
        <v>1.9375</v>
      </c>
      <c r="D8" s="25">
        <f>郑枫!F29/8</f>
        <v>2.25</v>
      </c>
      <c r="E8" s="27"/>
      <c r="F8" s="27"/>
      <c r="G8" s="43"/>
      <c r="H8" s="27">
        <v>1</v>
      </c>
      <c r="I8" s="27"/>
      <c r="J8" s="35" t="s">
        <v>74</v>
      </c>
    </row>
    <row r="9" spans="1:16" ht="22.5" x14ac:dyDescent="0.15">
      <c r="A9" s="23">
        <v>7</v>
      </c>
      <c r="B9" s="26" t="s">
        <v>9</v>
      </c>
      <c r="C9" s="25">
        <f>麦国鹏!F18/8</f>
        <v>0.32500000000000001</v>
      </c>
      <c r="D9" s="25">
        <f>麦国鹏!F19/8</f>
        <v>0</v>
      </c>
      <c r="E9" s="27"/>
      <c r="F9" s="27"/>
      <c r="G9" s="43"/>
      <c r="H9" s="27"/>
      <c r="I9" s="27"/>
      <c r="J9" s="35"/>
    </row>
    <row r="10" spans="1:16" ht="22.5" x14ac:dyDescent="0.15">
      <c r="A10" s="23">
        <v>8</v>
      </c>
      <c r="B10" s="26" t="s">
        <v>10</v>
      </c>
      <c r="C10" s="25">
        <f>廖曦龙!F24/8</f>
        <v>4.1750000000000007</v>
      </c>
      <c r="D10" s="25">
        <f>廖曦龙!F25/8</f>
        <v>1.6875</v>
      </c>
      <c r="E10" s="27"/>
      <c r="F10" s="27"/>
      <c r="G10" s="43"/>
      <c r="H10" s="27"/>
      <c r="I10" s="27"/>
      <c r="J10" s="35" t="s">
        <v>71</v>
      </c>
    </row>
    <row r="11" spans="1:16" ht="22.5" x14ac:dyDescent="0.15">
      <c r="A11" s="23">
        <v>9</v>
      </c>
      <c r="B11" s="26" t="s">
        <v>33</v>
      </c>
      <c r="C11" s="25">
        <f>许川!F22/8</f>
        <v>0.91250000000000009</v>
      </c>
      <c r="D11" s="25">
        <f>许川!F23/8</f>
        <v>2.25</v>
      </c>
      <c r="E11" s="27"/>
      <c r="F11" s="27"/>
      <c r="G11" s="43">
        <v>6.25E-2</v>
      </c>
      <c r="H11" s="27">
        <v>0.5</v>
      </c>
      <c r="I11" s="27"/>
      <c r="J11" s="35" t="s">
        <v>73</v>
      </c>
    </row>
    <row r="12" spans="1:16" ht="22.5" x14ac:dyDescent="0.15">
      <c r="A12" s="23">
        <v>10</v>
      </c>
      <c r="B12" s="26" t="s">
        <v>35</v>
      </c>
      <c r="C12" s="25">
        <f>黄初旺!F20/8</f>
        <v>1.3125</v>
      </c>
      <c r="D12" s="25">
        <f>黄初旺!F21/8</f>
        <v>0</v>
      </c>
      <c r="E12" s="27"/>
      <c r="F12" s="27"/>
      <c r="G12" s="43"/>
      <c r="H12" s="27">
        <v>0.5</v>
      </c>
      <c r="I12" s="27"/>
      <c r="J12" s="35" t="s">
        <v>72</v>
      </c>
    </row>
    <row r="13" spans="1:16" ht="22.5" x14ac:dyDescent="0.15">
      <c r="A13" s="29"/>
      <c r="B13" s="30"/>
      <c r="C13" s="31"/>
      <c r="D13" s="31"/>
      <c r="E13" s="31"/>
      <c r="F13" s="31"/>
      <c r="G13" s="44"/>
      <c r="H13" s="31"/>
      <c r="I13" s="31"/>
      <c r="J13" s="36"/>
    </row>
    <row r="14" spans="1:16" ht="22.5" x14ac:dyDescent="0.15">
      <c r="A14" s="29"/>
      <c r="B14" s="30"/>
      <c r="C14" s="31"/>
      <c r="D14" s="31"/>
      <c r="E14" s="31"/>
      <c r="F14" s="31"/>
      <c r="G14" s="44"/>
      <c r="H14" s="31"/>
      <c r="I14" s="31"/>
      <c r="J14" s="36"/>
    </row>
  </sheetData>
  <mergeCells count="1">
    <mergeCell ref="A1:J1"/>
  </mergeCells>
  <phoneticPr fontId="14" type="noConversion"/>
  <printOptions horizontalCentered="1"/>
  <pageMargins left="0.25" right="0.25" top="0.75" bottom="0.75" header="0.3" footer="0.3"/>
  <pageSetup paperSize="9" scale="92" fitToHeight="0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28"/>
  <sheetViews>
    <sheetView zoomScale="85" zoomScaleNormal="85" workbookViewId="0">
      <pane ySplit="3" topLeftCell="A4" activePane="bottomLeft" state="frozen"/>
      <selection pane="bottomLeft" activeCell="F16" sqref="F16"/>
    </sheetView>
  </sheetViews>
  <sheetFormatPr defaultColWidth="9" defaultRowHeight="13.5" x14ac:dyDescent="0.15"/>
  <cols>
    <col min="1" max="1" width="14.25" customWidth="1"/>
    <col min="2" max="2" width="8.875" customWidth="1"/>
    <col min="3" max="3" width="6" style="1" customWidth="1"/>
    <col min="4" max="4" width="15.125" customWidth="1"/>
    <col min="5" max="5" width="14.75" customWidth="1"/>
    <col min="6" max="6" width="18.75" style="1" customWidth="1"/>
    <col min="7" max="7" width="50.875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12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4">
        <v>45545</v>
      </c>
      <c r="B4" s="15" t="str">
        <f>IF(A4="","",TEXT(WEEKDAY(A4,1),"AAAA"))</f>
        <v>星期二</v>
      </c>
      <c r="C4" s="7"/>
      <c r="D4" s="37">
        <v>0.70833333333333337</v>
      </c>
      <c r="E4" s="37">
        <v>0.95833333333333337</v>
      </c>
      <c r="F4" s="7">
        <f>INT((HOUR(E4-D4)*60+MINUTE(E4-D4))/6)/10</f>
        <v>6</v>
      </c>
      <c r="G4" s="5" t="s">
        <v>60</v>
      </c>
      <c r="H4" s="8"/>
      <c r="J4" s="13"/>
    </row>
    <row r="5" spans="1:10" ht="18.75" x14ac:dyDescent="0.15">
      <c r="A5" s="4">
        <v>45546</v>
      </c>
      <c r="B5" s="15" t="str">
        <f t="shared" ref="B5:B25" si="0">IF(A5="","",TEXT(WEEKDAY(A5,1),"AAAA"))</f>
        <v>星期三</v>
      </c>
      <c r="C5" s="7"/>
      <c r="D5" s="37">
        <v>0.70833333333333337</v>
      </c>
      <c r="E5" s="17">
        <v>0.84375</v>
      </c>
      <c r="F5" s="7">
        <f t="shared" ref="F5:F14" si="1">INT((HOUR(E5-D5)*60+MINUTE(E5-D5))/6)/10</f>
        <v>3.2</v>
      </c>
      <c r="G5" s="18" t="s">
        <v>61</v>
      </c>
    </row>
    <row r="6" spans="1:10" ht="18.75" x14ac:dyDescent="0.15">
      <c r="A6" s="4">
        <v>45547</v>
      </c>
      <c r="B6" s="15" t="str">
        <f t="shared" si="0"/>
        <v>星期四</v>
      </c>
      <c r="C6" s="3"/>
      <c r="D6" s="37">
        <v>0.70833333333333337</v>
      </c>
      <c r="E6" s="17">
        <v>0.86805555555555547</v>
      </c>
      <c r="F6" s="7">
        <f t="shared" si="1"/>
        <v>3.8</v>
      </c>
      <c r="G6" s="5" t="s">
        <v>46</v>
      </c>
    </row>
    <row r="7" spans="1:10" ht="18.75" x14ac:dyDescent="0.15">
      <c r="A7" s="4">
        <v>45553</v>
      </c>
      <c r="B7" s="15" t="str">
        <f t="shared" si="0"/>
        <v>星期三</v>
      </c>
      <c r="C7" s="3"/>
      <c r="D7" s="37">
        <v>0.70833333333333337</v>
      </c>
      <c r="E7" s="17">
        <v>0.81944444444444453</v>
      </c>
      <c r="F7" s="7">
        <f t="shared" si="1"/>
        <v>2.6</v>
      </c>
      <c r="G7" s="5" t="s">
        <v>46</v>
      </c>
    </row>
    <row r="8" spans="1:10" ht="18.75" x14ac:dyDescent="0.15">
      <c r="A8" s="4">
        <v>45556</v>
      </c>
      <c r="B8" s="15" t="str">
        <f t="shared" ref="B8" si="2">IF(A8="","",TEXT(WEEKDAY(A8,1),"AAAA"))</f>
        <v>星期六</v>
      </c>
      <c r="C8" s="3">
        <v>1</v>
      </c>
      <c r="D8" s="37">
        <v>0.3576388888888889</v>
      </c>
      <c r="E8" s="17">
        <v>0.70833333333333337</v>
      </c>
      <c r="F8" s="7">
        <f t="shared" si="1"/>
        <v>8.4</v>
      </c>
      <c r="G8" s="5" t="s">
        <v>77</v>
      </c>
      <c r="I8" s="14"/>
    </row>
    <row r="9" spans="1:10" ht="18.75" x14ac:dyDescent="0.15">
      <c r="A9" s="4">
        <v>45558</v>
      </c>
      <c r="B9" s="15" t="str">
        <f t="shared" si="0"/>
        <v>星期一</v>
      </c>
      <c r="C9" s="3"/>
      <c r="D9" s="37">
        <v>0.70833333333333337</v>
      </c>
      <c r="E9" s="17">
        <v>0.79166666666666663</v>
      </c>
      <c r="F9" s="7">
        <f t="shared" si="1"/>
        <v>2</v>
      </c>
      <c r="G9" s="5" t="s">
        <v>62</v>
      </c>
    </row>
    <row r="10" spans="1:10" ht="18.75" x14ac:dyDescent="0.15">
      <c r="A10" s="4">
        <v>45559</v>
      </c>
      <c r="B10" s="15" t="str">
        <f t="shared" si="0"/>
        <v>星期二</v>
      </c>
      <c r="C10" s="7"/>
      <c r="D10" s="37">
        <v>0.70833333333333337</v>
      </c>
      <c r="E10" s="17">
        <v>0.78472222222222221</v>
      </c>
      <c r="F10" s="7">
        <v>1.4</v>
      </c>
      <c r="G10" s="5" t="s">
        <v>78</v>
      </c>
      <c r="H10" s="12"/>
    </row>
    <row r="11" spans="1:10" ht="18.75" x14ac:dyDescent="0.15">
      <c r="A11" s="4">
        <v>45560</v>
      </c>
      <c r="B11" s="15" t="str">
        <f t="shared" si="0"/>
        <v>星期三</v>
      </c>
      <c r="C11" s="7"/>
      <c r="D11" s="37">
        <v>0.70833333333333337</v>
      </c>
      <c r="E11" s="17">
        <v>0.80208333333333337</v>
      </c>
      <c r="F11" s="7">
        <f t="shared" si="1"/>
        <v>2.2000000000000002</v>
      </c>
      <c r="G11" s="5" t="s">
        <v>46</v>
      </c>
      <c r="I11" s="14"/>
    </row>
    <row r="12" spans="1:10" ht="18.75" x14ac:dyDescent="0.15">
      <c r="A12" s="4">
        <v>45562</v>
      </c>
      <c r="B12" s="15" t="str">
        <f t="shared" si="0"/>
        <v>星期五</v>
      </c>
      <c r="C12" s="3"/>
      <c r="D12" s="37">
        <v>0.70833333333333337</v>
      </c>
      <c r="E12" s="10">
        <v>0.75</v>
      </c>
      <c r="F12" s="7">
        <f t="shared" si="1"/>
        <v>1</v>
      </c>
      <c r="G12" s="2" t="s">
        <v>79</v>
      </c>
    </row>
    <row r="13" spans="1:10" ht="18.75" x14ac:dyDescent="0.15">
      <c r="A13" s="4"/>
      <c r="B13" s="15" t="str">
        <f t="shared" si="0"/>
        <v/>
      </c>
      <c r="C13" s="3"/>
      <c r="D13" s="37"/>
      <c r="E13" s="10"/>
      <c r="F13" s="7">
        <f t="shared" si="1"/>
        <v>0</v>
      </c>
      <c r="G13" s="2"/>
      <c r="H13" s="12"/>
    </row>
    <row r="14" spans="1:10" ht="18.75" x14ac:dyDescent="0.15">
      <c r="A14" s="4"/>
      <c r="B14" s="15" t="str">
        <f t="shared" si="0"/>
        <v/>
      </c>
      <c r="C14" s="3"/>
      <c r="D14" s="37"/>
      <c r="E14" s="10"/>
      <c r="F14" s="7">
        <f t="shared" si="1"/>
        <v>0</v>
      </c>
      <c r="G14" s="2"/>
      <c r="H14" s="12"/>
    </row>
    <row r="15" spans="1:10" ht="18.75" x14ac:dyDescent="0.15">
      <c r="A15" s="4"/>
      <c r="B15" s="15" t="str">
        <f t="shared" si="0"/>
        <v/>
      </c>
      <c r="C15" s="3"/>
      <c r="D15" s="37"/>
      <c r="E15" s="10"/>
      <c r="F15" s="7">
        <f t="shared" ref="F15:F25" si="3">INT((HOUR(E15-D15)*60+MINUTE(E15-D15))/6)/10</f>
        <v>0</v>
      </c>
      <c r="G15" s="2"/>
      <c r="H15" s="12"/>
    </row>
    <row r="16" spans="1:10" ht="18.75" x14ac:dyDescent="0.15">
      <c r="A16" s="4"/>
      <c r="B16" s="15" t="str">
        <f t="shared" si="0"/>
        <v/>
      </c>
      <c r="C16" s="3"/>
      <c r="D16" s="37"/>
      <c r="E16" s="10"/>
      <c r="F16" s="7">
        <f t="shared" si="3"/>
        <v>0</v>
      </c>
      <c r="G16" s="2"/>
      <c r="H16" s="12"/>
    </row>
    <row r="17" spans="1:9" ht="18.75" x14ac:dyDescent="0.15">
      <c r="A17" s="4"/>
      <c r="B17" s="15" t="str">
        <f t="shared" si="0"/>
        <v/>
      </c>
      <c r="C17" s="3"/>
      <c r="D17" s="37"/>
      <c r="E17" s="10"/>
      <c r="F17" s="7">
        <f t="shared" si="3"/>
        <v>0</v>
      </c>
      <c r="G17" s="2"/>
      <c r="H17" s="12"/>
    </row>
    <row r="18" spans="1:9" ht="18.75" x14ac:dyDescent="0.15">
      <c r="A18" s="4"/>
      <c r="B18" s="15" t="str">
        <f t="shared" si="0"/>
        <v/>
      </c>
      <c r="C18" s="3"/>
      <c r="D18" s="10"/>
      <c r="E18" s="10"/>
      <c r="F18" s="7">
        <f t="shared" si="3"/>
        <v>0</v>
      </c>
      <c r="G18" s="2"/>
      <c r="H18" s="12"/>
    </row>
    <row r="19" spans="1:9" ht="18.75" x14ac:dyDescent="0.15">
      <c r="A19" s="4"/>
      <c r="B19" s="15" t="str">
        <f t="shared" si="0"/>
        <v/>
      </c>
      <c r="C19" s="3"/>
      <c r="D19" s="10"/>
      <c r="E19" s="10"/>
      <c r="F19" s="7">
        <f t="shared" si="3"/>
        <v>0</v>
      </c>
      <c r="G19" s="2"/>
      <c r="H19" s="12"/>
    </row>
    <row r="20" spans="1:9" ht="18.75" x14ac:dyDescent="0.15">
      <c r="A20" s="4"/>
      <c r="B20" s="15" t="str">
        <f t="shared" si="0"/>
        <v/>
      </c>
      <c r="C20" s="3"/>
      <c r="D20" s="10"/>
      <c r="E20" s="10"/>
      <c r="F20" s="7">
        <f t="shared" si="3"/>
        <v>0</v>
      </c>
      <c r="G20" s="2"/>
      <c r="H20" s="12"/>
    </row>
    <row r="21" spans="1:9" ht="18.75" x14ac:dyDescent="0.15">
      <c r="A21" s="4"/>
      <c r="B21" s="15" t="str">
        <f t="shared" si="0"/>
        <v/>
      </c>
      <c r="C21" s="3"/>
      <c r="D21" s="10"/>
      <c r="E21" s="10"/>
      <c r="F21" s="7">
        <f t="shared" si="3"/>
        <v>0</v>
      </c>
      <c r="G21" s="2"/>
      <c r="H21" s="12"/>
    </row>
    <row r="22" spans="1:9" ht="18.75" x14ac:dyDescent="0.15">
      <c r="A22" s="4"/>
      <c r="B22" s="15" t="str">
        <f t="shared" si="0"/>
        <v/>
      </c>
      <c r="C22" s="3"/>
      <c r="D22" s="10"/>
      <c r="E22" s="10"/>
      <c r="F22" s="7">
        <f t="shared" si="3"/>
        <v>0</v>
      </c>
      <c r="G22" s="2"/>
      <c r="H22" s="12"/>
    </row>
    <row r="23" spans="1:9" ht="18.75" x14ac:dyDescent="0.15">
      <c r="A23" s="4"/>
      <c r="B23" s="15" t="str">
        <f t="shared" si="0"/>
        <v/>
      </c>
      <c r="C23" s="3"/>
      <c r="D23" s="10"/>
      <c r="E23" s="10"/>
      <c r="F23" s="7">
        <f t="shared" si="3"/>
        <v>0</v>
      </c>
      <c r="G23" s="2"/>
      <c r="H23" s="12"/>
    </row>
    <row r="24" spans="1:9" ht="18.75" x14ac:dyDescent="0.15">
      <c r="A24" s="9"/>
      <c r="B24" s="15" t="str">
        <f t="shared" si="0"/>
        <v/>
      </c>
      <c r="C24" s="3"/>
      <c r="D24" s="10"/>
      <c r="E24" s="10"/>
      <c r="F24" s="7">
        <f t="shared" si="3"/>
        <v>0</v>
      </c>
      <c r="G24" s="2"/>
      <c r="I24" s="14"/>
    </row>
    <row r="25" spans="1:9" ht="18.75" x14ac:dyDescent="0.15">
      <c r="A25" s="9"/>
      <c r="B25" s="15" t="str">
        <f t="shared" si="0"/>
        <v/>
      </c>
      <c r="C25" s="3"/>
      <c r="D25" s="10"/>
      <c r="E25" s="10"/>
      <c r="F25" s="7">
        <f t="shared" si="3"/>
        <v>0</v>
      </c>
      <c r="G25" s="2"/>
    </row>
    <row r="26" spans="1:9" ht="18.75" x14ac:dyDescent="0.15">
      <c r="A26" s="51" t="s">
        <v>21</v>
      </c>
      <c r="B26" s="51"/>
      <c r="C26" s="3"/>
      <c r="D26" s="10"/>
      <c r="E26" s="10"/>
      <c r="F26" s="3">
        <f>SUM(F4:F25)</f>
        <v>30.599999999999998</v>
      </c>
      <c r="G26" s="2"/>
    </row>
    <row r="27" spans="1:9" ht="44.25" customHeight="1" x14ac:dyDescent="0.15">
      <c r="A27" s="47" t="s">
        <v>22</v>
      </c>
      <c r="B27" s="47"/>
      <c r="C27" s="47"/>
      <c r="D27" s="47"/>
      <c r="E27" s="47"/>
      <c r="F27" s="3">
        <f>SUMIF($C$4:$C$25,"",F4:F25)</f>
        <v>22.2</v>
      </c>
      <c r="G27" s="39"/>
    </row>
    <row r="28" spans="1:9" ht="51.75" customHeight="1" x14ac:dyDescent="0.15">
      <c r="A28" s="47" t="s">
        <v>23</v>
      </c>
      <c r="B28" s="47"/>
      <c r="C28" s="47"/>
      <c r="D28" s="47"/>
      <c r="E28" s="47"/>
      <c r="F28" s="3">
        <f>SUMIF($C$4:$C$25,"1",F4:F25)</f>
        <v>8.4</v>
      </c>
      <c r="G28" s="19"/>
    </row>
  </sheetData>
  <mergeCells count="6">
    <mergeCell ref="A28:E28"/>
    <mergeCell ref="A1:G1"/>
    <mergeCell ref="A2:D2"/>
    <mergeCell ref="E2:G2"/>
    <mergeCell ref="A26:B26"/>
    <mergeCell ref="A27:E27"/>
  </mergeCells>
  <phoneticPr fontId="14" type="noConversion"/>
  <pageMargins left="0.7" right="0.7" top="0.75" bottom="0.75" header="0.3" footer="0.3"/>
  <pageSetup paperSize="9" orientation="portrait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J28"/>
  <sheetViews>
    <sheetView zoomScale="85" zoomScaleNormal="85" workbookViewId="0">
      <pane ySplit="3" topLeftCell="A4" activePane="bottomLeft" state="frozen"/>
      <selection pane="bottomLeft" activeCell="E18" sqref="E18"/>
    </sheetView>
  </sheetViews>
  <sheetFormatPr defaultColWidth="9" defaultRowHeight="13.5" x14ac:dyDescent="0.15"/>
  <cols>
    <col min="1" max="1" width="14.25" customWidth="1"/>
    <col min="2" max="2" width="8.875" customWidth="1"/>
    <col min="3" max="3" width="6" customWidth="1"/>
    <col min="4" max="4" width="15.125" customWidth="1"/>
    <col min="5" max="5" width="14.75" customWidth="1"/>
    <col min="6" max="6" width="18.75" style="1" customWidth="1"/>
    <col min="7" max="7" width="72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24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9">
        <v>45537</v>
      </c>
      <c r="B4" s="15" t="str">
        <f>IF(A4="","",TEXT(WEEKDAY(A4,1),"AAAA"))</f>
        <v>星期一</v>
      </c>
      <c r="C4" s="3"/>
      <c r="D4" s="10">
        <v>0.92986111111111114</v>
      </c>
      <c r="E4" s="10">
        <v>2.2916666666666669E-2</v>
      </c>
      <c r="F4" s="3">
        <v>2.1</v>
      </c>
      <c r="G4" s="2" t="s">
        <v>55</v>
      </c>
      <c r="H4" s="8"/>
      <c r="J4" s="13"/>
    </row>
    <row r="5" spans="1:10" ht="18.75" x14ac:dyDescent="0.15">
      <c r="A5" s="9">
        <v>45537</v>
      </c>
      <c r="B5" s="15" t="str">
        <f t="shared" ref="B5:B7" si="0">IF(A5="","",TEXT(WEEKDAY(A5,1),"AAAA"))</f>
        <v>星期一</v>
      </c>
      <c r="C5" s="3"/>
      <c r="D5" s="10">
        <v>0.70833333333333337</v>
      </c>
      <c r="E5" s="10">
        <v>0.77777777777777779</v>
      </c>
      <c r="F5" s="3">
        <f t="shared" ref="F5:F18" si="1">INT((HOUR(E5-D5)*60+MINUTE(E5-D5))/6)/10</f>
        <v>1.6</v>
      </c>
      <c r="G5" s="2" t="s">
        <v>56</v>
      </c>
    </row>
    <row r="6" spans="1:10" ht="18.75" x14ac:dyDescent="0.15">
      <c r="A6" s="9">
        <v>45539</v>
      </c>
      <c r="B6" s="15" t="str">
        <f t="shared" si="0"/>
        <v>星期三</v>
      </c>
      <c r="C6" s="3"/>
      <c r="D6" s="10">
        <v>0.70833333333333337</v>
      </c>
      <c r="E6" s="10">
        <v>0.75347222222222221</v>
      </c>
      <c r="F6" s="3">
        <f t="shared" si="1"/>
        <v>1</v>
      </c>
      <c r="G6" s="40" t="s">
        <v>56</v>
      </c>
    </row>
    <row r="7" spans="1:10" ht="18.75" x14ac:dyDescent="0.15">
      <c r="A7" s="9">
        <v>45542</v>
      </c>
      <c r="B7" s="15" t="str">
        <f t="shared" si="0"/>
        <v>星期六</v>
      </c>
      <c r="C7" s="3">
        <v>1</v>
      </c>
      <c r="D7" s="10">
        <v>0.4284722222222222</v>
      </c>
      <c r="E7" s="10">
        <v>0.56874999999999998</v>
      </c>
      <c r="F7" s="3">
        <f t="shared" si="1"/>
        <v>3.3</v>
      </c>
      <c r="G7" s="2" t="s">
        <v>57</v>
      </c>
    </row>
    <row r="8" spans="1:10" ht="18.75" x14ac:dyDescent="0.15">
      <c r="A8" s="9">
        <v>45544</v>
      </c>
      <c r="B8" s="15" t="str">
        <f t="shared" ref="B8:B13" si="2">IF(A8="","",TEXT(WEEKDAY(A8,1),"AAAA"))</f>
        <v>星期一</v>
      </c>
      <c r="C8" s="3"/>
      <c r="D8" s="10">
        <v>0.70833333333333337</v>
      </c>
      <c r="E8" s="10">
        <v>0.88958333333333339</v>
      </c>
      <c r="F8" s="3">
        <f t="shared" si="1"/>
        <v>4.3</v>
      </c>
      <c r="G8" s="2" t="s">
        <v>58</v>
      </c>
    </row>
    <row r="9" spans="1:10" ht="18.75" x14ac:dyDescent="0.15">
      <c r="A9" s="9">
        <v>45545</v>
      </c>
      <c r="B9" s="15" t="str">
        <f t="shared" si="2"/>
        <v>星期二</v>
      </c>
      <c r="C9" s="3"/>
      <c r="D9" s="10">
        <v>0.70833333333333337</v>
      </c>
      <c r="E9" s="10">
        <v>0.73611111111111116</v>
      </c>
      <c r="F9" s="3">
        <f t="shared" si="1"/>
        <v>0.6</v>
      </c>
      <c r="G9" s="2" t="s">
        <v>56</v>
      </c>
    </row>
    <row r="10" spans="1:10" ht="18.75" x14ac:dyDescent="0.15">
      <c r="A10" s="9">
        <v>45546</v>
      </c>
      <c r="B10" s="15" t="str">
        <f t="shared" si="2"/>
        <v>星期三</v>
      </c>
      <c r="C10" s="3"/>
      <c r="D10" s="10">
        <v>0.70833333333333337</v>
      </c>
      <c r="E10" s="10">
        <v>0.75</v>
      </c>
      <c r="F10" s="3">
        <f t="shared" si="1"/>
        <v>1</v>
      </c>
      <c r="G10" s="2" t="s">
        <v>56</v>
      </c>
    </row>
    <row r="11" spans="1:10" ht="18.75" x14ac:dyDescent="0.15">
      <c r="A11" s="9">
        <v>45552</v>
      </c>
      <c r="B11" s="15" t="str">
        <f t="shared" si="2"/>
        <v>星期二</v>
      </c>
      <c r="C11" s="3">
        <v>1</v>
      </c>
      <c r="D11" s="10">
        <v>0.33333333333333331</v>
      </c>
      <c r="E11" s="10">
        <v>0.80208333333333337</v>
      </c>
      <c r="F11" s="3">
        <v>10.3</v>
      </c>
      <c r="G11" s="2" t="s">
        <v>56</v>
      </c>
    </row>
    <row r="12" spans="1:10" ht="18.75" x14ac:dyDescent="0.15">
      <c r="A12" s="9">
        <v>45553</v>
      </c>
      <c r="B12" s="15" t="str">
        <f t="shared" si="2"/>
        <v>星期三</v>
      </c>
      <c r="C12" s="3"/>
      <c r="D12" s="10">
        <v>0.70833333333333337</v>
      </c>
      <c r="E12" s="10">
        <v>0.84236111111111101</v>
      </c>
      <c r="F12" s="3">
        <f t="shared" si="1"/>
        <v>3.2</v>
      </c>
      <c r="G12" s="40" t="s">
        <v>56</v>
      </c>
      <c r="H12" s="12"/>
    </row>
    <row r="13" spans="1:10" ht="18.75" x14ac:dyDescent="0.15">
      <c r="A13" s="9">
        <v>45556</v>
      </c>
      <c r="B13" s="15" t="str">
        <f t="shared" si="2"/>
        <v>星期六</v>
      </c>
      <c r="C13" s="3">
        <v>1</v>
      </c>
      <c r="D13" s="10">
        <v>0.33333333333333331</v>
      </c>
      <c r="E13" s="10">
        <v>0.7284722222222223</v>
      </c>
      <c r="F13" s="3">
        <v>8</v>
      </c>
      <c r="G13" s="2" t="s">
        <v>56</v>
      </c>
      <c r="I13" s="14"/>
    </row>
    <row r="14" spans="1:10" ht="18.75" x14ac:dyDescent="0.15">
      <c r="A14" s="9">
        <v>45558</v>
      </c>
      <c r="B14" s="15" t="str">
        <f t="shared" ref="B14:B25" si="3">IF(A14="","",TEXT(WEEKDAY(A14,1),"AAAA"))</f>
        <v>星期一</v>
      </c>
      <c r="C14" s="3"/>
      <c r="D14" s="10">
        <v>0.70833333333333337</v>
      </c>
      <c r="E14" s="10">
        <v>0.8125</v>
      </c>
      <c r="F14" s="3">
        <f t="shared" si="1"/>
        <v>2.5</v>
      </c>
      <c r="G14" s="2" t="s">
        <v>56</v>
      </c>
    </row>
    <row r="15" spans="1:10" ht="18.75" x14ac:dyDescent="0.15">
      <c r="A15" s="9">
        <v>45560</v>
      </c>
      <c r="B15" s="15" t="str">
        <f t="shared" si="3"/>
        <v>星期三</v>
      </c>
      <c r="C15" s="3"/>
      <c r="D15" s="10">
        <v>0.70833333333333337</v>
      </c>
      <c r="E15" s="10">
        <v>0.8027777777777777</v>
      </c>
      <c r="F15" s="3">
        <f t="shared" si="1"/>
        <v>2.2000000000000002</v>
      </c>
      <c r="G15" s="2" t="s">
        <v>56</v>
      </c>
      <c r="H15" s="12"/>
    </row>
    <row r="16" spans="1:10" ht="18.75" x14ac:dyDescent="0.15">
      <c r="A16" s="9"/>
      <c r="B16" s="15" t="str">
        <f t="shared" si="3"/>
        <v/>
      </c>
      <c r="C16" s="3"/>
      <c r="D16" s="10"/>
      <c r="E16" s="10"/>
      <c r="F16" s="3">
        <f t="shared" si="1"/>
        <v>0</v>
      </c>
      <c r="G16" s="2"/>
      <c r="I16" s="14"/>
    </row>
    <row r="17" spans="1:9" ht="18.75" x14ac:dyDescent="0.15">
      <c r="A17" s="9"/>
      <c r="B17" s="15" t="str">
        <f t="shared" si="3"/>
        <v/>
      </c>
      <c r="C17" s="3"/>
      <c r="D17" s="10"/>
      <c r="E17" s="10"/>
      <c r="F17" s="3">
        <f t="shared" si="1"/>
        <v>0</v>
      </c>
      <c r="G17" s="2"/>
      <c r="I17" t="s">
        <v>25</v>
      </c>
    </row>
    <row r="18" spans="1:9" ht="18.75" x14ac:dyDescent="0.15">
      <c r="A18" s="9"/>
      <c r="B18" s="15" t="str">
        <f t="shared" si="3"/>
        <v/>
      </c>
      <c r="C18" s="3"/>
      <c r="D18" s="10"/>
      <c r="E18" s="10"/>
      <c r="F18" s="3">
        <f t="shared" si="1"/>
        <v>0</v>
      </c>
      <c r="G18" s="2"/>
    </row>
    <row r="19" spans="1:9" ht="18.75" x14ac:dyDescent="0.15">
      <c r="A19" s="9"/>
      <c r="B19" s="15" t="str">
        <f t="shared" si="3"/>
        <v/>
      </c>
      <c r="C19" s="3"/>
      <c r="D19" s="10"/>
      <c r="E19" s="10"/>
      <c r="F19" s="3">
        <f t="shared" ref="F19:F25" si="4">INT((HOUR(E19-D19)*60+MINUTE(E19-D19))/6)/10</f>
        <v>0</v>
      </c>
      <c r="G19" s="2"/>
    </row>
    <row r="20" spans="1:9" ht="18.75" x14ac:dyDescent="0.15">
      <c r="A20" s="9"/>
      <c r="B20" s="15" t="str">
        <f t="shared" si="3"/>
        <v/>
      </c>
      <c r="C20" s="3"/>
      <c r="D20" s="10"/>
      <c r="E20" s="10"/>
      <c r="F20" s="3">
        <f t="shared" si="4"/>
        <v>0</v>
      </c>
      <c r="G20" s="2"/>
    </row>
    <row r="21" spans="1:9" ht="18.75" x14ac:dyDescent="0.15">
      <c r="A21" s="9"/>
      <c r="B21" s="15" t="str">
        <f t="shared" si="3"/>
        <v/>
      </c>
      <c r="C21" s="3"/>
      <c r="D21" s="10"/>
      <c r="E21" s="10"/>
      <c r="F21" s="3">
        <f t="shared" si="4"/>
        <v>0</v>
      </c>
      <c r="G21" s="2"/>
    </row>
    <row r="22" spans="1:9" ht="18.75" x14ac:dyDescent="0.15">
      <c r="A22" s="9"/>
      <c r="B22" s="15" t="str">
        <f t="shared" si="3"/>
        <v/>
      </c>
      <c r="C22" s="3"/>
      <c r="D22" s="10"/>
      <c r="E22" s="10"/>
      <c r="F22" s="3">
        <f t="shared" si="4"/>
        <v>0</v>
      </c>
      <c r="G22" s="2"/>
    </row>
    <row r="23" spans="1:9" ht="18.75" x14ac:dyDescent="0.15">
      <c r="A23" s="9"/>
      <c r="B23" s="15" t="str">
        <f t="shared" si="3"/>
        <v/>
      </c>
      <c r="C23" s="3"/>
      <c r="D23" s="10"/>
      <c r="E23" s="10"/>
      <c r="F23" s="3">
        <f t="shared" si="4"/>
        <v>0</v>
      </c>
      <c r="G23" s="2"/>
    </row>
    <row r="24" spans="1:9" ht="18.75" x14ac:dyDescent="0.15">
      <c r="A24" s="9"/>
      <c r="B24" s="15" t="str">
        <f t="shared" si="3"/>
        <v/>
      </c>
      <c r="C24" s="3"/>
      <c r="D24" s="10"/>
      <c r="E24" s="10"/>
      <c r="F24" s="3">
        <f t="shared" si="4"/>
        <v>0</v>
      </c>
      <c r="G24" s="2"/>
    </row>
    <row r="25" spans="1:9" ht="18.75" x14ac:dyDescent="0.15">
      <c r="A25" s="9"/>
      <c r="B25" s="15" t="str">
        <f t="shared" si="3"/>
        <v/>
      </c>
      <c r="C25" s="3"/>
      <c r="D25" s="10"/>
      <c r="E25" s="10"/>
      <c r="F25" s="3">
        <f t="shared" si="4"/>
        <v>0</v>
      </c>
      <c r="G25" s="2"/>
    </row>
    <row r="26" spans="1:9" ht="18.75" x14ac:dyDescent="0.15">
      <c r="A26" s="51" t="s">
        <v>21</v>
      </c>
      <c r="B26" s="51"/>
      <c r="C26" s="2"/>
      <c r="D26" s="2"/>
      <c r="E26" s="2"/>
      <c r="F26" s="3">
        <f>SUM(F4:F25)</f>
        <v>40.100000000000009</v>
      </c>
      <c r="G26" s="2"/>
    </row>
    <row r="27" spans="1:9" ht="44.25" customHeight="1" x14ac:dyDescent="0.15">
      <c r="A27" s="47" t="s">
        <v>22</v>
      </c>
      <c r="B27" s="47"/>
      <c r="C27" s="47"/>
      <c r="D27" s="47"/>
      <c r="E27" s="47"/>
      <c r="F27" s="3">
        <f>SUMIF($C$4:$C$25,"",F4:F25)</f>
        <v>18.5</v>
      </c>
      <c r="G27" s="2"/>
    </row>
    <row r="28" spans="1:9" ht="51.75" customHeight="1" x14ac:dyDescent="0.15">
      <c r="A28" s="47" t="s">
        <v>23</v>
      </c>
      <c r="B28" s="47"/>
      <c r="C28" s="47"/>
      <c r="D28" s="47"/>
      <c r="E28" s="47"/>
      <c r="F28" s="3">
        <f>SUMIF($C$4:$C$25,"1",F4:F25)</f>
        <v>21.6</v>
      </c>
      <c r="G28" s="2"/>
    </row>
  </sheetData>
  <mergeCells count="6">
    <mergeCell ref="A28:E28"/>
    <mergeCell ref="A1:G1"/>
    <mergeCell ref="A2:D2"/>
    <mergeCell ref="E2:G2"/>
    <mergeCell ref="A26:B26"/>
    <mergeCell ref="A27:E27"/>
  </mergeCells>
  <phoneticPr fontId="14" type="noConversion"/>
  <pageMargins left="0.7" right="0.7" top="0.75" bottom="0.75" header="0.3" footer="0.3"/>
  <pageSetup paperSize="9" orientation="portrait" horizontalDpi="2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J34"/>
  <sheetViews>
    <sheetView zoomScale="85" zoomScaleNormal="85" workbookViewId="0">
      <pane ySplit="3" topLeftCell="A4" activePane="bottomLeft" state="frozen"/>
      <selection pane="bottomLeft" activeCell="G35" sqref="G35"/>
    </sheetView>
  </sheetViews>
  <sheetFormatPr defaultColWidth="9" defaultRowHeight="13.5" x14ac:dyDescent="0.15"/>
  <cols>
    <col min="1" max="1" width="14.25" customWidth="1"/>
    <col min="2" max="2" width="8.875" customWidth="1"/>
    <col min="3" max="3" width="6" style="1" customWidth="1"/>
    <col min="4" max="4" width="15.125" customWidth="1"/>
    <col min="5" max="5" width="14.75" customWidth="1"/>
    <col min="6" max="6" width="18.75" style="1" customWidth="1"/>
    <col min="7" max="7" width="75.375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26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9">
        <v>45537</v>
      </c>
      <c r="B4" s="15" t="str">
        <f>IF(A4="","",TEXT(WEEKDAY(A4,1),"AAAA"))</f>
        <v>星期一</v>
      </c>
      <c r="C4" s="3"/>
      <c r="D4" s="10">
        <v>0.70833333333333337</v>
      </c>
      <c r="E4" s="10">
        <v>0.79166666666666663</v>
      </c>
      <c r="F4" s="3">
        <f>INT((HOUR(E4-D4)*60+MINUTE(E4-D4))/6)/10</f>
        <v>2</v>
      </c>
      <c r="G4" s="2" t="s">
        <v>44</v>
      </c>
    </row>
    <row r="5" spans="1:10" ht="18.75" x14ac:dyDescent="0.15">
      <c r="A5" s="9">
        <v>45538</v>
      </c>
      <c r="B5" s="15" t="str">
        <f t="shared" ref="B5" si="0">IF(A5="","",TEXT(WEEKDAY(A5,1),"AAAA"))</f>
        <v>星期二</v>
      </c>
      <c r="C5" s="3"/>
      <c r="D5" s="10">
        <v>0.70833333333333337</v>
      </c>
      <c r="E5" s="10">
        <v>0.79166666666666663</v>
      </c>
      <c r="F5" s="3">
        <f>INT((HOUR(E5-D5)*60+MINUTE(E5-D5))/6)/10</f>
        <v>2</v>
      </c>
      <c r="G5" s="2" t="s">
        <v>44</v>
      </c>
    </row>
    <row r="6" spans="1:10" ht="18.75" x14ac:dyDescent="0.15">
      <c r="A6" s="9">
        <v>45539</v>
      </c>
      <c r="B6" s="15" t="str">
        <f t="shared" ref="B6:B7" si="1">IF(A6="","",TEXT(WEEKDAY(A6,1),"AAAA"))</f>
        <v>星期三</v>
      </c>
      <c r="C6" s="3"/>
      <c r="D6" s="10">
        <v>0.70833333333333337</v>
      </c>
      <c r="E6" s="10">
        <v>0.79166666666666663</v>
      </c>
      <c r="F6" s="3">
        <f>INT((HOUR(E6-D6)*60+MINUTE(E6-D6))/6)/10</f>
        <v>2</v>
      </c>
      <c r="G6" s="2" t="s">
        <v>44</v>
      </c>
      <c r="H6" s="8"/>
      <c r="J6" s="13"/>
    </row>
    <row r="7" spans="1:10" ht="18.75" x14ac:dyDescent="0.15">
      <c r="A7" s="9">
        <v>45540</v>
      </c>
      <c r="B7" s="15" t="str">
        <f t="shared" si="1"/>
        <v>星期四</v>
      </c>
      <c r="C7" s="3"/>
      <c r="D7" s="10">
        <v>0.70833333333333337</v>
      </c>
      <c r="E7" s="10">
        <v>0.74305555555555547</v>
      </c>
      <c r="F7" s="3">
        <f t="shared" ref="F7" si="2">INT((HOUR(E7-D7)*60+MINUTE(E7-D7))/6)/10</f>
        <v>0.8</v>
      </c>
      <c r="G7" s="2" t="s">
        <v>44</v>
      </c>
    </row>
    <row r="8" spans="1:10" ht="18.75" x14ac:dyDescent="0.15">
      <c r="A8" s="9">
        <v>45541</v>
      </c>
      <c r="B8" s="15" t="str">
        <f t="shared" ref="B8:B11" si="3">IF(A8="","",TEXT(WEEKDAY(A8,1),"AAAA"))</f>
        <v>星期五</v>
      </c>
      <c r="C8" s="3"/>
      <c r="D8" s="10">
        <v>0.70833333333333337</v>
      </c>
      <c r="E8" s="10">
        <v>0.73611111111111116</v>
      </c>
      <c r="F8" s="3">
        <f t="shared" ref="F8:F31" si="4">INT((HOUR(E8-D8)*60+MINUTE(E8-D8))/6)/10</f>
        <v>0.6</v>
      </c>
      <c r="G8" s="2" t="s">
        <v>44</v>
      </c>
    </row>
    <row r="9" spans="1:10" ht="18.75" x14ac:dyDescent="0.15">
      <c r="A9" s="9">
        <v>45544</v>
      </c>
      <c r="B9" s="15" t="str">
        <f t="shared" si="3"/>
        <v>星期一</v>
      </c>
      <c r="C9" s="3"/>
      <c r="D9" s="10">
        <v>0.70833333333333337</v>
      </c>
      <c r="E9" s="10">
        <v>0.83333333333333337</v>
      </c>
      <c r="F9" s="3">
        <f t="shared" si="4"/>
        <v>3</v>
      </c>
      <c r="G9" s="2" t="s">
        <v>44</v>
      </c>
    </row>
    <row r="10" spans="1:10" ht="18.75" x14ac:dyDescent="0.15">
      <c r="A10" s="9">
        <v>45545</v>
      </c>
      <c r="B10" s="15" t="str">
        <f t="shared" si="3"/>
        <v>星期二</v>
      </c>
      <c r="C10" s="3"/>
      <c r="D10" s="10">
        <v>0.70833333333333337</v>
      </c>
      <c r="E10" s="10">
        <v>0.72916666666666663</v>
      </c>
      <c r="F10" s="3">
        <f t="shared" ref="F10:F11" si="5">INT((HOUR(E10-D10)*60+MINUTE(E10-D10))/6)/10</f>
        <v>0.5</v>
      </c>
      <c r="G10" s="2" t="s">
        <v>44</v>
      </c>
    </row>
    <row r="11" spans="1:10" ht="18.75" x14ac:dyDescent="0.15">
      <c r="A11" s="9">
        <v>45546</v>
      </c>
      <c r="B11" s="15" t="str">
        <f t="shared" si="3"/>
        <v>星期三</v>
      </c>
      <c r="C11" s="3"/>
      <c r="D11" s="10">
        <v>0.70833333333333337</v>
      </c>
      <c r="E11" s="10">
        <v>0.8125</v>
      </c>
      <c r="F11" s="3">
        <f t="shared" si="5"/>
        <v>2.5</v>
      </c>
      <c r="G11" s="2" t="s">
        <v>44</v>
      </c>
    </row>
    <row r="12" spans="1:10" ht="18.75" x14ac:dyDescent="0.15">
      <c r="A12" s="9">
        <v>45547</v>
      </c>
      <c r="B12" s="15" t="str">
        <f t="shared" ref="B12:B13" si="6">IF(A12="","",TEXT(WEEKDAY(A12,1),"AAAA"))</f>
        <v>星期四</v>
      </c>
      <c r="C12" s="3"/>
      <c r="D12" s="10">
        <v>0.70833333333333337</v>
      </c>
      <c r="E12" s="10">
        <v>0.79166666666666663</v>
      </c>
      <c r="F12" s="3">
        <f t="shared" si="4"/>
        <v>2</v>
      </c>
      <c r="G12" s="2" t="s">
        <v>44</v>
      </c>
    </row>
    <row r="13" spans="1:10" ht="18.75" x14ac:dyDescent="0.15">
      <c r="A13" s="9">
        <v>45548</v>
      </c>
      <c r="B13" s="15" t="str">
        <f t="shared" si="6"/>
        <v>星期五</v>
      </c>
      <c r="C13" s="3"/>
      <c r="D13" s="10">
        <v>0.70833333333333337</v>
      </c>
      <c r="E13" s="10">
        <v>0.8125</v>
      </c>
      <c r="F13" s="3">
        <f t="shared" si="4"/>
        <v>2.5</v>
      </c>
      <c r="G13" s="2" t="s">
        <v>44</v>
      </c>
    </row>
    <row r="14" spans="1:10" ht="18.75" x14ac:dyDescent="0.15">
      <c r="A14" s="9">
        <v>45549</v>
      </c>
      <c r="B14" s="15" t="str">
        <f t="shared" ref="B14:B24" si="7">IF(A14="","",TEXT(WEEKDAY(A14,1),"AAAA"))</f>
        <v>星期六</v>
      </c>
      <c r="C14" s="3"/>
      <c r="D14" s="10">
        <v>0.70833333333333337</v>
      </c>
      <c r="E14" s="10">
        <v>0.8125</v>
      </c>
      <c r="F14" s="3">
        <f t="shared" si="4"/>
        <v>2.5</v>
      </c>
      <c r="G14" s="2" t="s">
        <v>44</v>
      </c>
    </row>
    <row r="15" spans="1:10" ht="18.75" x14ac:dyDescent="0.15">
      <c r="A15" s="9">
        <v>45551</v>
      </c>
      <c r="B15" s="15" t="str">
        <f t="shared" si="7"/>
        <v>星期一</v>
      </c>
      <c r="C15" s="3">
        <v>1</v>
      </c>
      <c r="D15" s="10">
        <v>0.75</v>
      </c>
      <c r="E15" s="10">
        <v>0.77083333333333337</v>
      </c>
      <c r="F15" s="3">
        <f t="shared" si="4"/>
        <v>0.5</v>
      </c>
      <c r="G15" s="2" t="s">
        <v>44</v>
      </c>
    </row>
    <row r="16" spans="1:10" ht="18.75" x14ac:dyDescent="0.15">
      <c r="A16" s="9">
        <v>45560</v>
      </c>
      <c r="B16" s="15" t="str">
        <f t="shared" si="7"/>
        <v>星期三</v>
      </c>
      <c r="C16" s="3"/>
      <c r="D16" s="10">
        <v>0.72916666666666663</v>
      </c>
      <c r="E16" s="10">
        <v>0.77083333333333337</v>
      </c>
      <c r="F16" s="3">
        <f t="shared" si="4"/>
        <v>1</v>
      </c>
      <c r="G16" s="2" t="s">
        <v>75</v>
      </c>
    </row>
    <row r="17" spans="1:10" ht="18.75" x14ac:dyDescent="0.15">
      <c r="A17" s="9"/>
      <c r="B17" s="15" t="str">
        <f t="shared" si="7"/>
        <v/>
      </c>
      <c r="C17" s="3"/>
      <c r="D17" s="10"/>
      <c r="E17" s="10"/>
      <c r="F17" s="3">
        <f t="shared" si="4"/>
        <v>0</v>
      </c>
      <c r="G17" s="2"/>
    </row>
    <row r="18" spans="1:10" ht="18.75" x14ac:dyDescent="0.15">
      <c r="A18" s="9"/>
      <c r="B18" s="15" t="str">
        <f t="shared" si="7"/>
        <v/>
      </c>
      <c r="C18" s="3"/>
      <c r="D18" s="10"/>
      <c r="E18" s="10"/>
      <c r="F18" s="3">
        <f t="shared" si="4"/>
        <v>0</v>
      </c>
      <c r="G18" s="2"/>
    </row>
    <row r="19" spans="1:10" ht="18.75" x14ac:dyDescent="0.15">
      <c r="A19" s="9"/>
      <c r="B19" s="15" t="str">
        <f t="shared" si="7"/>
        <v/>
      </c>
      <c r="C19" s="3"/>
      <c r="D19" s="10"/>
      <c r="E19" s="10"/>
      <c r="F19" s="3">
        <f t="shared" si="4"/>
        <v>0</v>
      </c>
      <c r="G19" s="2"/>
      <c r="J19" s="8"/>
    </row>
    <row r="20" spans="1:10" ht="18.75" hidden="1" x14ac:dyDescent="0.15">
      <c r="A20" s="9"/>
      <c r="B20" s="15" t="str">
        <f t="shared" si="7"/>
        <v/>
      </c>
      <c r="C20" s="3"/>
      <c r="D20" s="10"/>
      <c r="E20" s="10"/>
      <c r="F20" s="3">
        <f t="shared" si="4"/>
        <v>0</v>
      </c>
      <c r="G20" s="2"/>
    </row>
    <row r="21" spans="1:10" ht="18.75" hidden="1" x14ac:dyDescent="0.15">
      <c r="A21" s="9"/>
      <c r="B21" s="15" t="str">
        <f t="shared" si="7"/>
        <v/>
      </c>
      <c r="C21" s="3"/>
      <c r="D21" s="10"/>
      <c r="E21" s="10"/>
      <c r="F21" s="3">
        <f t="shared" si="4"/>
        <v>0</v>
      </c>
      <c r="G21" s="2"/>
    </row>
    <row r="22" spans="1:10" ht="18.75" hidden="1" x14ac:dyDescent="0.15">
      <c r="A22" s="9"/>
      <c r="B22" s="15" t="str">
        <f t="shared" si="7"/>
        <v/>
      </c>
      <c r="C22" s="3"/>
      <c r="D22" s="10"/>
      <c r="E22" s="10"/>
      <c r="F22" s="3">
        <f t="shared" si="4"/>
        <v>0</v>
      </c>
      <c r="G22" s="2"/>
    </row>
    <row r="23" spans="1:10" ht="18.75" hidden="1" x14ac:dyDescent="0.15">
      <c r="A23" s="9"/>
      <c r="B23" s="15" t="str">
        <f t="shared" si="7"/>
        <v/>
      </c>
      <c r="C23" s="3"/>
      <c r="D23" s="10"/>
      <c r="E23" s="10"/>
      <c r="F23" s="3">
        <f t="shared" si="4"/>
        <v>0</v>
      </c>
      <c r="G23" s="2"/>
    </row>
    <row r="24" spans="1:10" ht="18.75" hidden="1" x14ac:dyDescent="0.15">
      <c r="A24" s="9"/>
      <c r="B24" s="15" t="str">
        <f t="shared" si="7"/>
        <v/>
      </c>
      <c r="C24" s="3"/>
      <c r="D24" s="10"/>
      <c r="E24" s="10"/>
      <c r="F24" s="3">
        <f t="shared" si="4"/>
        <v>0</v>
      </c>
      <c r="G24" s="2"/>
    </row>
    <row r="25" spans="1:10" ht="18.75" hidden="1" x14ac:dyDescent="0.15">
      <c r="A25" s="2"/>
      <c r="B25" s="2"/>
      <c r="C25" s="3"/>
      <c r="D25" s="2"/>
      <c r="E25" s="2"/>
      <c r="F25" s="3">
        <f t="shared" si="4"/>
        <v>0</v>
      </c>
      <c r="G25" s="2"/>
    </row>
    <row r="26" spans="1:10" ht="18.75" hidden="1" x14ac:dyDescent="0.15">
      <c r="A26" s="2"/>
      <c r="B26" s="2"/>
      <c r="C26" s="3"/>
      <c r="D26" s="2"/>
      <c r="E26" s="2"/>
      <c r="F26" s="3">
        <f t="shared" si="4"/>
        <v>0</v>
      </c>
      <c r="G26" s="2"/>
      <c r="H26" s="12"/>
    </row>
    <row r="27" spans="1:10" ht="18.75" hidden="1" x14ac:dyDescent="0.15">
      <c r="A27" s="2"/>
      <c r="B27" s="2"/>
      <c r="C27" s="3"/>
      <c r="D27" s="2"/>
      <c r="E27" s="2"/>
      <c r="F27" s="3">
        <f t="shared" si="4"/>
        <v>0</v>
      </c>
      <c r="G27" s="2"/>
      <c r="I27" s="14"/>
    </row>
    <row r="28" spans="1:10" ht="18.75" hidden="1" x14ac:dyDescent="0.15">
      <c r="A28" s="2"/>
      <c r="B28" s="2"/>
      <c r="C28" s="3"/>
      <c r="D28" s="2"/>
      <c r="E28" s="2"/>
      <c r="F28" s="3">
        <f t="shared" si="4"/>
        <v>0</v>
      </c>
      <c r="G28" s="2"/>
    </row>
    <row r="29" spans="1:10" ht="18.75" hidden="1" x14ac:dyDescent="0.15">
      <c r="A29" s="2"/>
      <c r="B29" s="2"/>
      <c r="C29" s="3"/>
      <c r="D29" s="2"/>
      <c r="E29" s="2"/>
      <c r="F29" s="3">
        <f t="shared" si="4"/>
        <v>0</v>
      </c>
      <c r="G29" s="2"/>
      <c r="H29" s="12"/>
    </row>
    <row r="30" spans="1:10" ht="18.75" hidden="1" x14ac:dyDescent="0.15">
      <c r="A30" s="2"/>
      <c r="B30" s="2"/>
      <c r="C30" s="3"/>
      <c r="D30" s="2"/>
      <c r="E30" s="2"/>
      <c r="F30" s="3">
        <f t="shared" si="4"/>
        <v>0</v>
      </c>
      <c r="G30" s="2"/>
      <c r="I30" s="14"/>
    </row>
    <row r="31" spans="1:10" ht="18.75" hidden="1" x14ac:dyDescent="0.15">
      <c r="A31" s="2"/>
      <c r="B31" s="11"/>
      <c r="C31" s="3"/>
      <c r="D31" s="2"/>
      <c r="E31" s="2"/>
      <c r="F31" s="3">
        <f t="shared" si="4"/>
        <v>0</v>
      </c>
      <c r="G31" s="2"/>
    </row>
    <row r="32" spans="1:10" ht="18.75" x14ac:dyDescent="0.15">
      <c r="A32" s="51" t="s">
        <v>21</v>
      </c>
      <c r="B32" s="51"/>
      <c r="C32" s="3"/>
      <c r="D32" s="2"/>
      <c r="E32" s="2"/>
      <c r="F32" s="3">
        <f>SUM(F4:F31)</f>
        <v>21.9</v>
      </c>
      <c r="G32" s="2"/>
    </row>
    <row r="33" spans="1:7" ht="69" customHeight="1" x14ac:dyDescent="0.15">
      <c r="A33" s="47" t="s">
        <v>22</v>
      </c>
      <c r="B33" s="47"/>
      <c r="C33" s="47"/>
      <c r="D33" s="47"/>
      <c r="E33" s="47"/>
      <c r="F33" s="3">
        <f>SUMIF($C$4:$C$31,"",F4:F31)-0.5</f>
        <v>20.9</v>
      </c>
      <c r="G33" s="40"/>
    </row>
    <row r="34" spans="1:7" ht="51.75" customHeight="1" x14ac:dyDescent="0.15">
      <c r="A34" s="47" t="s">
        <v>23</v>
      </c>
      <c r="B34" s="47"/>
      <c r="C34" s="47"/>
      <c r="D34" s="47"/>
      <c r="E34" s="47"/>
      <c r="F34" s="3">
        <f>SUMIF($C$4:$C$31,"1",F4:F31)</f>
        <v>0.5</v>
      </c>
      <c r="G34" s="2"/>
    </row>
  </sheetData>
  <mergeCells count="6">
    <mergeCell ref="A34:E34"/>
    <mergeCell ref="A1:G1"/>
    <mergeCell ref="A2:D2"/>
    <mergeCell ref="E2:G2"/>
    <mergeCell ref="A32:B32"/>
    <mergeCell ref="A33:E33"/>
  </mergeCells>
  <phoneticPr fontId="14" type="noConversion"/>
  <pageMargins left="0.7" right="0.7" top="0.75" bottom="0.75" header="0.3" footer="0.3"/>
  <pageSetup paperSize="9" orientation="portrait" horizontalDpi="2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J26"/>
  <sheetViews>
    <sheetView zoomScale="85" zoomScaleNormal="85" workbookViewId="0">
      <pane ySplit="3" topLeftCell="A4" activePane="bottomLeft" state="frozen"/>
      <selection pane="bottomLeft" activeCell="E14" sqref="E14"/>
    </sheetView>
  </sheetViews>
  <sheetFormatPr defaultColWidth="9" defaultRowHeight="13.5" x14ac:dyDescent="0.15"/>
  <cols>
    <col min="1" max="1" width="14.25" customWidth="1"/>
    <col min="2" max="2" width="8.875" customWidth="1"/>
    <col min="3" max="3" width="6" style="1" customWidth="1"/>
    <col min="4" max="4" width="15.125" customWidth="1"/>
    <col min="5" max="5" width="14.75" customWidth="1"/>
    <col min="6" max="6" width="18.75" style="1" customWidth="1"/>
    <col min="7" max="7" width="50.875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27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9">
        <v>45537</v>
      </c>
      <c r="B4" s="15" t="str">
        <f>IF(A4="","",TEXT(WEEKDAY(A4,1),"AAAA"))</f>
        <v>星期一</v>
      </c>
      <c r="C4" s="3"/>
      <c r="D4" s="10">
        <v>0.70833333333333337</v>
      </c>
      <c r="E4" s="10">
        <v>0.8125</v>
      </c>
      <c r="F4" s="3">
        <v>2</v>
      </c>
      <c r="G4" s="2" t="s">
        <v>45</v>
      </c>
      <c r="H4" s="8"/>
      <c r="J4" s="13"/>
    </row>
    <row r="5" spans="1:10" ht="18.75" x14ac:dyDescent="0.15">
      <c r="A5" s="9">
        <v>45544</v>
      </c>
      <c r="B5" s="15" t="str">
        <f>IF(A5="","",TEXT(WEEKDAY(A5,1),"AAAA"))</f>
        <v>星期一</v>
      </c>
      <c r="C5" s="3"/>
      <c r="D5" s="10">
        <v>0.70833333333333337</v>
      </c>
      <c r="E5" s="10">
        <v>0.77083333333333337</v>
      </c>
      <c r="F5" s="3">
        <v>1</v>
      </c>
      <c r="G5" s="40" t="s">
        <v>45</v>
      </c>
    </row>
    <row r="6" spans="1:10" ht="18.75" x14ac:dyDescent="0.15">
      <c r="A6" s="9">
        <v>45553</v>
      </c>
      <c r="B6" s="15" t="str">
        <f t="shared" ref="B6:B7" si="0">IF(A6="","",TEXT(WEEKDAY(A6,1),"AAAA"))</f>
        <v>星期三</v>
      </c>
      <c r="C6" s="3"/>
      <c r="D6" s="10">
        <v>0.70833333333333337</v>
      </c>
      <c r="E6" s="10">
        <v>0.85972222222222217</v>
      </c>
      <c r="F6" s="3">
        <f t="shared" ref="F6:F22" si="1">INT((HOUR(E6-D6)*60+MINUTE(E6-D6))/6)/10</f>
        <v>3.6</v>
      </c>
      <c r="G6" s="2" t="s">
        <v>45</v>
      </c>
    </row>
    <row r="7" spans="1:10" ht="18.75" x14ac:dyDescent="0.15">
      <c r="A7" s="9">
        <v>45558</v>
      </c>
      <c r="B7" s="15" t="str">
        <f t="shared" si="0"/>
        <v>星期一</v>
      </c>
      <c r="C7" s="3"/>
      <c r="D7" s="10">
        <v>0.70833333333333337</v>
      </c>
      <c r="E7" s="10">
        <v>0.8208333333333333</v>
      </c>
      <c r="F7" s="3">
        <f t="shared" si="1"/>
        <v>2.7</v>
      </c>
      <c r="G7" s="40" t="s">
        <v>45</v>
      </c>
    </row>
    <row r="8" spans="1:10" ht="18.75" x14ac:dyDescent="0.15">
      <c r="A8" s="9"/>
      <c r="B8" s="15" t="str">
        <f t="shared" ref="B8:B23" si="2">IF(A8="","",TEXT(WEEKDAY(A8,1),"AAAA"))</f>
        <v/>
      </c>
      <c r="C8" s="3"/>
      <c r="D8" s="10"/>
      <c r="E8" s="10"/>
      <c r="F8" s="3">
        <f t="shared" si="1"/>
        <v>0</v>
      </c>
      <c r="G8" s="2"/>
    </row>
    <row r="9" spans="1:10" ht="18.75" x14ac:dyDescent="0.15">
      <c r="A9" s="9"/>
      <c r="B9" s="15" t="str">
        <f t="shared" si="2"/>
        <v/>
      </c>
      <c r="C9" s="3"/>
      <c r="D9" s="10"/>
      <c r="E9" s="10"/>
      <c r="F9" s="3">
        <f t="shared" si="1"/>
        <v>0</v>
      </c>
      <c r="G9" s="2"/>
    </row>
    <row r="10" spans="1:10" ht="18.75" x14ac:dyDescent="0.15">
      <c r="A10" s="9"/>
      <c r="B10" s="15" t="str">
        <f t="shared" si="2"/>
        <v/>
      </c>
      <c r="C10" s="3"/>
      <c r="D10" s="10"/>
      <c r="E10" s="10"/>
      <c r="F10" s="3">
        <f t="shared" si="1"/>
        <v>0</v>
      </c>
      <c r="G10" s="2"/>
    </row>
    <row r="11" spans="1:10" ht="18.75" x14ac:dyDescent="0.15">
      <c r="A11" s="9"/>
      <c r="B11" s="15" t="str">
        <f t="shared" si="2"/>
        <v/>
      </c>
      <c r="C11" s="3"/>
      <c r="D11" s="10"/>
      <c r="E11" s="10"/>
      <c r="F11" s="3">
        <f t="shared" si="1"/>
        <v>0</v>
      </c>
      <c r="G11" s="2"/>
    </row>
    <row r="12" spans="1:10" ht="18.75" x14ac:dyDescent="0.15">
      <c r="A12" s="9"/>
      <c r="B12" s="15" t="str">
        <f t="shared" si="2"/>
        <v/>
      </c>
      <c r="C12" s="3"/>
      <c r="D12" s="10"/>
      <c r="E12" s="10"/>
      <c r="F12" s="3">
        <f t="shared" si="1"/>
        <v>0</v>
      </c>
      <c r="G12" s="2"/>
    </row>
    <row r="13" spans="1:10" ht="18.75" x14ac:dyDescent="0.15">
      <c r="A13" s="9"/>
      <c r="B13" s="15" t="str">
        <f t="shared" si="2"/>
        <v/>
      </c>
      <c r="C13" s="3"/>
      <c r="D13" s="10"/>
      <c r="E13" s="10"/>
      <c r="F13" s="3">
        <f t="shared" si="1"/>
        <v>0</v>
      </c>
      <c r="G13" s="2"/>
    </row>
    <row r="14" spans="1:10" ht="18.75" x14ac:dyDescent="0.15">
      <c r="A14" s="9"/>
      <c r="B14" s="15" t="str">
        <f t="shared" si="2"/>
        <v/>
      </c>
      <c r="C14" s="3"/>
      <c r="D14" s="10"/>
      <c r="E14" s="10"/>
      <c r="F14" s="3">
        <f t="shared" si="1"/>
        <v>0</v>
      </c>
      <c r="G14" s="2"/>
    </row>
    <row r="15" spans="1:10" ht="18.75" x14ac:dyDescent="0.15">
      <c r="A15" s="9"/>
      <c r="B15" s="15" t="str">
        <f t="shared" si="2"/>
        <v/>
      </c>
      <c r="C15" s="3"/>
      <c r="D15" s="10"/>
      <c r="E15" s="10"/>
      <c r="F15" s="3">
        <f t="shared" si="1"/>
        <v>0</v>
      </c>
      <c r="G15" s="2"/>
    </row>
    <row r="16" spans="1:10" ht="18.75" x14ac:dyDescent="0.15">
      <c r="A16" s="9"/>
      <c r="B16" s="15" t="str">
        <f t="shared" si="2"/>
        <v/>
      </c>
      <c r="C16" s="3"/>
      <c r="D16" s="10"/>
      <c r="E16" s="10"/>
      <c r="F16" s="3">
        <f t="shared" si="1"/>
        <v>0</v>
      </c>
      <c r="G16" s="2"/>
      <c r="H16" s="12"/>
    </row>
    <row r="17" spans="1:9" ht="18.75" x14ac:dyDescent="0.15">
      <c r="A17" s="9"/>
      <c r="B17" s="15" t="str">
        <f t="shared" si="2"/>
        <v/>
      </c>
      <c r="C17" s="3"/>
      <c r="D17" s="10"/>
      <c r="E17" s="10"/>
      <c r="F17" s="3">
        <f t="shared" si="1"/>
        <v>0</v>
      </c>
      <c r="G17" s="2"/>
      <c r="H17" s="12"/>
    </row>
    <row r="18" spans="1:9" ht="18.75" x14ac:dyDescent="0.15">
      <c r="A18" s="9"/>
      <c r="B18" s="15" t="str">
        <f t="shared" si="2"/>
        <v/>
      </c>
      <c r="C18" s="3"/>
      <c r="D18" s="10"/>
      <c r="E18" s="10"/>
      <c r="F18" s="3">
        <f t="shared" si="1"/>
        <v>0</v>
      </c>
      <c r="G18" s="2"/>
      <c r="H18" s="12"/>
    </row>
    <row r="19" spans="1:9" ht="18.75" x14ac:dyDescent="0.15">
      <c r="A19" s="9"/>
      <c r="B19" s="15" t="str">
        <f t="shared" si="2"/>
        <v/>
      </c>
      <c r="C19" s="3"/>
      <c r="D19" s="10"/>
      <c r="E19" s="10"/>
      <c r="F19" s="3">
        <f t="shared" si="1"/>
        <v>0</v>
      </c>
      <c r="G19" s="2"/>
      <c r="I19" s="14"/>
    </row>
    <row r="20" spans="1:9" ht="18.75" x14ac:dyDescent="0.15">
      <c r="A20" s="9"/>
      <c r="B20" s="15" t="str">
        <f t="shared" si="2"/>
        <v/>
      </c>
      <c r="C20" s="3"/>
      <c r="D20" s="10"/>
      <c r="E20" s="10"/>
      <c r="F20" s="3">
        <f t="shared" si="1"/>
        <v>0</v>
      </c>
      <c r="G20" s="2"/>
    </row>
    <row r="21" spans="1:9" ht="18.75" x14ac:dyDescent="0.15">
      <c r="A21" s="9"/>
      <c r="B21" s="15" t="str">
        <f t="shared" si="2"/>
        <v/>
      </c>
      <c r="C21" s="3"/>
      <c r="D21" s="10"/>
      <c r="E21" s="10"/>
      <c r="F21" s="3">
        <f t="shared" si="1"/>
        <v>0</v>
      </c>
      <c r="G21" s="2"/>
      <c r="H21" s="12"/>
    </row>
    <row r="22" spans="1:9" ht="18.75" x14ac:dyDescent="0.15">
      <c r="A22" s="9"/>
      <c r="B22" s="15" t="str">
        <f t="shared" si="2"/>
        <v/>
      </c>
      <c r="C22" s="3"/>
      <c r="D22" s="10"/>
      <c r="E22" s="10"/>
      <c r="F22" s="3">
        <f t="shared" si="1"/>
        <v>0</v>
      </c>
      <c r="G22" s="2"/>
      <c r="I22" s="14"/>
    </row>
    <row r="23" spans="1:9" ht="18.75" x14ac:dyDescent="0.15">
      <c r="A23" s="9"/>
      <c r="B23" s="15" t="str">
        <f t="shared" si="2"/>
        <v/>
      </c>
      <c r="C23" s="3"/>
      <c r="D23" s="10"/>
      <c r="E23" s="10"/>
      <c r="F23" s="3">
        <f t="shared" ref="F23" si="3">INT((HOUR(E23-D23)*60+MINUTE(E23-D23))/6)/10</f>
        <v>0</v>
      </c>
      <c r="G23" s="2"/>
      <c r="I23" t="s">
        <v>25</v>
      </c>
    </row>
    <row r="24" spans="1:9" ht="18.75" x14ac:dyDescent="0.15">
      <c r="A24" s="51" t="s">
        <v>21</v>
      </c>
      <c r="B24" s="51"/>
      <c r="C24" s="3"/>
      <c r="D24" s="2"/>
      <c r="E24" s="2"/>
      <c r="F24" s="3">
        <f>SUM(F4:F23)</f>
        <v>9.3000000000000007</v>
      </c>
      <c r="G24" s="2"/>
    </row>
    <row r="25" spans="1:9" ht="44.25" customHeight="1" x14ac:dyDescent="0.15">
      <c r="A25" s="47" t="s">
        <v>22</v>
      </c>
      <c r="B25" s="47"/>
      <c r="C25" s="47"/>
      <c r="D25" s="47"/>
      <c r="E25" s="47"/>
      <c r="F25" s="3">
        <f>SUMIF($C$4:$C$23,"",F4:F23)</f>
        <v>9.3000000000000007</v>
      </c>
      <c r="G25" s="2"/>
    </row>
    <row r="26" spans="1:9" ht="51.75" customHeight="1" x14ac:dyDescent="0.15">
      <c r="A26" s="47" t="s">
        <v>23</v>
      </c>
      <c r="B26" s="47"/>
      <c r="C26" s="47"/>
      <c r="D26" s="47"/>
      <c r="E26" s="47"/>
      <c r="F26" s="3">
        <f>SUMIF($C$4:$C$23,"1",F4:F23)</f>
        <v>0</v>
      </c>
      <c r="G26" s="16"/>
    </row>
  </sheetData>
  <mergeCells count="6">
    <mergeCell ref="A26:E26"/>
    <mergeCell ref="A1:G1"/>
    <mergeCell ref="A2:D2"/>
    <mergeCell ref="E2:G2"/>
    <mergeCell ref="A24:B24"/>
    <mergeCell ref="A25:E25"/>
  </mergeCells>
  <phoneticPr fontId="14" type="noConversion"/>
  <pageMargins left="0.7" right="0.7" top="0.75" bottom="0.75" header="0.3" footer="0.3"/>
  <pageSetup paperSize="9" orientation="portrait" horizontalDpi="2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J27"/>
  <sheetViews>
    <sheetView zoomScale="85" zoomScaleNormal="85" workbookViewId="0">
      <pane ySplit="3" topLeftCell="A4" activePane="bottomLeft" state="frozen"/>
      <selection pane="bottomLeft" activeCell="G25" sqref="G25"/>
    </sheetView>
  </sheetViews>
  <sheetFormatPr defaultColWidth="9" defaultRowHeight="13.5" x14ac:dyDescent="0.15"/>
  <cols>
    <col min="1" max="1" width="14.25" customWidth="1"/>
    <col min="2" max="2" width="8.875" customWidth="1"/>
    <col min="3" max="3" width="8.875" style="1" customWidth="1"/>
    <col min="4" max="4" width="15.125" customWidth="1"/>
    <col min="5" max="5" width="14.75" customWidth="1"/>
    <col min="6" max="6" width="18.75" style="1" customWidth="1"/>
    <col min="7" max="7" width="50.875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28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9">
        <v>45536</v>
      </c>
      <c r="B4" s="15" t="str">
        <f>IF(A4="","",TEXT(WEEKDAY(A4,1),"AAAA"))</f>
        <v>星期日</v>
      </c>
      <c r="C4" s="3">
        <v>1</v>
      </c>
      <c r="D4" s="10">
        <v>0.33333333333333331</v>
      </c>
      <c r="E4" s="10">
        <v>0.70833333333333337</v>
      </c>
      <c r="F4" s="3">
        <v>8</v>
      </c>
      <c r="G4" s="2" t="s">
        <v>63</v>
      </c>
      <c r="H4" s="8"/>
      <c r="J4" s="13"/>
    </row>
    <row r="5" spans="1:10" ht="18.75" x14ac:dyDescent="0.15">
      <c r="A5" s="9">
        <v>45537</v>
      </c>
      <c r="B5" s="15" t="str">
        <f t="shared" ref="B5:B24" si="0">IF(A5="","",TEXT(WEEKDAY(A5,1),"AAAA"))</f>
        <v>星期一</v>
      </c>
      <c r="C5" s="3"/>
      <c r="D5" s="10">
        <v>0.70833333333333337</v>
      </c>
      <c r="E5" s="10">
        <v>0</v>
      </c>
      <c r="F5" s="3">
        <v>7</v>
      </c>
      <c r="G5" s="2" t="s">
        <v>64</v>
      </c>
    </row>
    <row r="6" spans="1:10" ht="18.75" x14ac:dyDescent="0.15">
      <c r="A6" s="9">
        <v>45538</v>
      </c>
      <c r="B6" s="15" t="str">
        <f t="shared" si="0"/>
        <v>星期二</v>
      </c>
      <c r="C6" s="3"/>
      <c r="D6" s="10">
        <v>0.70833333333333337</v>
      </c>
      <c r="E6" s="10">
        <v>0.79166666666666663</v>
      </c>
      <c r="F6" s="3">
        <f t="shared" ref="F6:F23" si="1">INT((HOUR(E6-D6)*60+MINUTE(E6-D6))/6)/10</f>
        <v>2</v>
      </c>
      <c r="G6" s="2" t="s">
        <v>65</v>
      </c>
    </row>
    <row r="7" spans="1:10" ht="18.75" x14ac:dyDescent="0.15">
      <c r="A7" s="9">
        <v>45539</v>
      </c>
      <c r="B7" s="15" t="str">
        <f t="shared" si="0"/>
        <v>星期三</v>
      </c>
      <c r="C7" s="3"/>
      <c r="D7" s="10">
        <v>0.70833333333333337</v>
      </c>
      <c r="E7" s="10">
        <v>0.79166666666666663</v>
      </c>
      <c r="F7" s="3">
        <f t="shared" si="1"/>
        <v>2</v>
      </c>
      <c r="G7" s="2" t="s">
        <v>65</v>
      </c>
    </row>
    <row r="8" spans="1:10" ht="18.75" x14ac:dyDescent="0.15">
      <c r="A8" s="9">
        <v>45540</v>
      </c>
      <c r="B8" s="15" t="str">
        <f t="shared" si="0"/>
        <v>星期四</v>
      </c>
      <c r="C8" s="3"/>
      <c r="D8" s="10">
        <v>0.70833333333333337</v>
      </c>
      <c r="E8" s="10">
        <v>0.79166666666666663</v>
      </c>
      <c r="F8" s="3">
        <f t="shared" si="1"/>
        <v>2</v>
      </c>
      <c r="G8" s="2" t="s">
        <v>65</v>
      </c>
    </row>
    <row r="9" spans="1:10" ht="18.75" x14ac:dyDescent="0.15">
      <c r="A9" s="9">
        <v>45541</v>
      </c>
      <c r="B9" s="15" t="str">
        <f t="shared" si="0"/>
        <v>星期五</v>
      </c>
      <c r="C9" s="3"/>
      <c r="D9" s="10">
        <v>0.70833333333333337</v>
      </c>
      <c r="E9" s="10">
        <v>0.79166666666666663</v>
      </c>
      <c r="F9" s="3">
        <f t="shared" si="1"/>
        <v>2</v>
      </c>
      <c r="G9" s="2" t="s">
        <v>65</v>
      </c>
    </row>
    <row r="10" spans="1:10" ht="18.75" x14ac:dyDescent="0.15">
      <c r="A10" s="9">
        <v>45542</v>
      </c>
      <c r="B10" s="15" t="str">
        <f t="shared" si="0"/>
        <v>星期六</v>
      </c>
      <c r="C10" s="3">
        <v>1</v>
      </c>
      <c r="D10" s="10">
        <v>0.33333333333333331</v>
      </c>
      <c r="E10" s="10">
        <v>0.70833333333333337</v>
      </c>
      <c r="F10" s="3">
        <v>8</v>
      </c>
      <c r="G10" s="2" t="s">
        <v>66</v>
      </c>
    </row>
    <row r="11" spans="1:10" ht="18.75" x14ac:dyDescent="0.15">
      <c r="A11" s="9">
        <v>45544</v>
      </c>
      <c r="B11" s="15" t="str">
        <f t="shared" si="0"/>
        <v>星期一</v>
      </c>
      <c r="C11" s="3"/>
      <c r="D11" s="10">
        <v>0.70833333333333337</v>
      </c>
      <c r="E11" s="10">
        <v>0.88541666666666663</v>
      </c>
      <c r="F11" s="3">
        <f t="shared" si="1"/>
        <v>4.2</v>
      </c>
      <c r="G11" s="2" t="s">
        <v>65</v>
      </c>
    </row>
    <row r="12" spans="1:10" ht="18.75" x14ac:dyDescent="0.15">
      <c r="A12" s="9">
        <v>45545</v>
      </c>
      <c r="B12" s="15" t="str">
        <f t="shared" si="0"/>
        <v>星期二</v>
      </c>
      <c r="C12" s="3"/>
      <c r="D12" s="10">
        <v>0.70833333333333337</v>
      </c>
      <c r="E12" s="10">
        <v>0.95833333333333337</v>
      </c>
      <c r="F12" s="3">
        <f t="shared" si="1"/>
        <v>6</v>
      </c>
      <c r="G12" s="2" t="s">
        <v>65</v>
      </c>
    </row>
    <row r="13" spans="1:10" ht="18.75" x14ac:dyDescent="0.15">
      <c r="A13" s="9">
        <v>45546</v>
      </c>
      <c r="B13" s="15" t="str">
        <f t="shared" si="0"/>
        <v>星期三</v>
      </c>
      <c r="C13" s="3"/>
      <c r="D13" s="10">
        <v>0.70833333333333337</v>
      </c>
      <c r="E13" s="10">
        <v>0.83333333333333337</v>
      </c>
      <c r="F13" s="3">
        <f t="shared" si="1"/>
        <v>3</v>
      </c>
      <c r="G13" s="2" t="s">
        <v>65</v>
      </c>
    </row>
    <row r="14" spans="1:10" ht="18.75" x14ac:dyDescent="0.15">
      <c r="A14" s="9">
        <v>45547</v>
      </c>
      <c r="B14" s="15" t="str">
        <f t="shared" si="0"/>
        <v>星期四</v>
      </c>
      <c r="C14" s="3"/>
      <c r="D14" s="10">
        <v>0.70833333333333337</v>
      </c>
      <c r="E14" s="10">
        <v>0.85416666666666663</v>
      </c>
      <c r="F14" s="3">
        <f t="shared" si="1"/>
        <v>3.5</v>
      </c>
      <c r="G14" s="2" t="s">
        <v>65</v>
      </c>
    </row>
    <row r="15" spans="1:10" ht="18.75" x14ac:dyDescent="0.15">
      <c r="A15" s="9">
        <v>45549</v>
      </c>
      <c r="B15" s="15" t="str">
        <f t="shared" si="0"/>
        <v>星期六</v>
      </c>
      <c r="C15" s="3"/>
      <c r="D15" s="10">
        <v>0.70833333333333337</v>
      </c>
      <c r="E15" s="10">
        <v>0.79166666666666663</v>
      </c>
      <c r="F15" s="3">
        <f t="shared" si="1"/>
        <v>2</v>
      </c>
      <c r="G15" s="2" t="s">
        <v>65</v>
      </c>
    </row>
    <row r="16" spans="1:10" ht="18.75" x14ac:dyDescent="0.15">
      <c r="A16" s="9">
        <v>45550</v>
      </c>
      <c r="B16" s="15" t="str">
        <f t="shared" si="0"/>
        <v>星期日</v>
      </c>
      <c r="C16" s="3">
        <v>1</v>
      </c>
      <c r="D16" s="10">
        <v>0.33333333333333331</v>
      </c>
      <c r="E16" s="10">
        <v>0.70833333333333337</v>
      </c>
      <c r="F16" s="3">
        <v>8</v>
      </c>
      <c r="G16" s="2" t="s">
        <v>67</v>
      </c>
    </row>
    <row r="17" spans="1:9" ht="18.75" x14ac:dyDescent="0.15">
      <c r="A17" s="9">
        <v>45551</v>
      </c>
      <c r="B17" s="15" t="str">
        <f t="shared" si="0"/>
        <v>星期一</v>
      </c>
      <c r="C17" s="3">
        <v>1</v>
      </c>
      <c r="D17" s="10">
        <v>0.33333333333333331</v>
      </c>
      <c r="E17" s="10">
        <v>0.70833333333333337</v>
      </c>
      <c r="F17" s="3">
        <v>8</v>
      </c>
      <c r="G17" s="2" t="s">
        <v>68</v>
      </c>
    </row>
    <row r="18" spans="1:9" ht="18.75" x14ac:dyDescent="0.15">
      <c r="A18" s="9">
        <v>45552</v>
      </c>
      <c r="B18" s="15" t="str">
        <f t="shared" si="0"/>
        <v>星期二</v>
      </c>
      <c r="C18" s="3">
        <v>1</v>
      </c>
      <c r="D18" s="10">
        <v>0.33333333333333331</v>
      </c>
      <c r="E18" s="10">
        <v>0.70833333333333337</v>
      </c>
      <c r="F18" s="3">
        <v>8</v>
      </c>
      <c r="G18" s="2" t="s">
        <v>68</v>
      </c>
      <c r="H18" s="12"/>
    </row>
    <row r="19" spans="1:9" ht="18.75" x14ac:dyDescent="0.15">
      <c r="A19" s="9">
        <v>45556</v>
      </c>
      <c r="B19" s="15" t="str">
        <f t="shared" si="0"/>
        <v>星期六</v>
      </c>
      <c r="C19" s="3">
        <v>1</v>
      </c>
      <c r="D19" s="10">
        <v>0.33333333333333331</v>
      </c>
      <c r="E19" s="10">
        <v>0.70833333333333337</v>
      </c>
      <c r="F19" s="3">
        <v>8</v>
      </c>
      <c r="G19" s="2" t="s">
        <v>66</v>
      </c>
      <c r="I19" s="14"/>
    </row>
    <row r="20" spans="1:9" ht="18.75" x14ac:dyDescent="0.15">
      <c r="A20" s="9">
        <v>45563</v>
      </c>
      <c r="B20" s="15" t="str">
        <f t="shared" si="0"/>
        <v>星期六</v>
      </c>
      <c r="C20" s="3">
        <v>1</v>
      </c>
      <c r="D20" s="10">
        <v>0.33333333333333331</v>
      </c>
      <c r="E20" s="10">
        <v>0.70833333333333337</v>
      </c>
      <c r="F20" s="3">
        <v>8</v>
      </c>
      <c r="G20" s="2" t="s">
        <v>66</v>
      </c>
    </row>
    <row r="21" spans="1:9" ht="18.75" x14ac:dyDescent="0.15">
      <c r="A21" s="9"/>
      <c r="B21" s="15" t="str">
        <f t="shared" si="0"/>
        <v/>
      </c>
      <c r="C21" s="3"/>
      <c r="D21" s="10"/>
      <c r="E21" s="10"/>
      <c r="F21" s="3">
        <f t="shared" si="1"/>
        <v>0</v>
      </c>
      <c r="G21" s="2"/>
      <c r="H21" s="12"/>
    </row>
    <row r="22" spans="1:9" ht="18.75" x14ac:dyDescent="0.15">
      <c r="A22" s="9"/>
      <c r="B22" s="15" t="str">
        <f t="shared" ref="B22" si="2">IF(A22="","",TEXT(WEEKDAY(A22,1),"AAAA"))</f>
        <v/>
      </c>
      <c r="C22" s="3"/>
      <c r="D22" s="10"/>
      <c r="E22" s="10"/>
      <c r="F22" s="3">
        <f t="shared" si="1"/>
        <v>0</v>
      </c>
      <c r="G22" s="2"/>
      <c r="I22" s="14"/>
    </row>
    <row r="23" spans="1:9" ht="18.75" x14ac:dyDescent="0.15">
      <c r="A23" s="9"/>
      <c r="B23" s="15" t="str">
        <f t="shared" si="0"/>
        <v/>
      </c>
      <c r="C23" s="3"/>
      <c r="D23" s="10"/>
      <c r="E23" s="10"/>
      <c r="F23" s="3">
        <f t="shared" si="1"/>
        <v>0</v>
      </c>
      <c r="G23" s="2"/>
      <c r="I23" s="14"/>
    </row>
    <row r="24" spans="1:9" ht="18.75" x14ac:dyDescent="0.15">
      <c r="A24" s="9"/>
      <c r="B24" s="15" t="str">
        <f t="shared" si="0"/>
        <v/>
      </c>
      <c r="C24" s="3"/>
      <c r="D24" s="10"/>
      <c r="E24" s="10"/>
      <c r="F24" s="3">
        <f t="shared" ref="F24" si="3">INT((HOUR(E24-D24)*60+MINUTE(E24-D24))/6)/10</f>
        <v>0</v>
      </c>
      <c r="G24" s="2"/>
      <c r="I24" t="s">
        <v>25</v>
      </c>
    </row>
    <row r="25" spans="1:9" ht="18.75" x14ac:dyDescent="0.15">
      <c r="A25" s="51" t="s">
        <v>21</v>
      </c>
      <c r="B25" s="51"/>
      <c r="C25" s="3"/>
      <c r="D25" s="2"/>
      <c r="E25" s="2"/>
      <c r="F25" s="3">
        <f>SUM(F4:F24)</f>
        <v>89.7</v>
      </c>
      <c r="G25" s="2"/>
    </row>
    <row r="26" spans="1:9" ht="44.25" customHeight="1" x14ac:dyDescent="0.15">
      <c r="A26" s="47" t="s">
        <v>22</v>
      </c>
      <c r="B26" s="47"/>
      <c r="C26" s="47"/>
      <c r="D26" s="47"/>
      <c r="E26" s="47"/>
      <c r="F26" s="3">
        <f>SUMIF($C$4:$C$24,"",F4:F24)</f>
        <v>33.700000000000003</v>
      </c>
      <c r="G26" s="2"/>
    </row>
    <row r="27" spans="1:9" ht="51.75" customHeight="1" x14ac:dyDescent="0.15">
      <c r="A27" s="47" t="s">
        <v>23</v>
      </c>
      <c r="B27" s="47"/>
      <c r="C27" s="47"/>
      <c r="D27" s="47"/>
      <c r="E27" s="47"/>
      <c r="F27" s="3">
        <f>SUMIF($C$4:$C$24,"1",F4:F24)</f>
        <v>56</v>
      </c>
      <c r="G27" s="38"/>
    </row>
  </sheetData>
  <mergeCells count="6">
    <mergeCell ref="A27:E27"/>
    <mergeCell ref="A1:G1"/>
    <mergeCell ref="A2:D2"/>
    <mergeCell ref="E2:G2"/>
    <mergeCell ref="A25:B25"/>
    <mergeCell ref="A26:E26"/>
  </mergeCells>
  <phoneticPr fontId="14" type="noConversion"/>
  <pageMargins left="0.7" right="0.7" top="0.75" bottom="0.75" header="0.3" footer="0.3"/>
  <pageSetup paperSize="9" orientation="portrait" horizontalDpi="2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1:J29"/>
  <sheetViews>
    <sheetView zoomScale="85" zoomScaleNormal="85" workbookViewId="0">
      <pane ySplit="3" topLeftCell="A4" activePane="bottomLeft" state="frozen"/>
      <selection pane="bottomLeft" activeCell="F14" sqref="F14"/>
    </sheetView>
  </sheetViews>
  <sheetFormatPr defaultColWidth="9" defaultRowHeight="13.5" x14ac:dyDescent="0.15"/>
  <cols>
    <col min="1" max="1" width="14.25" customWidth="1"/>
    <col min="2" max="2" width="8.875" customWidth="1"/>
    <col min="3" max="3" width="6" style="1" customWidth="1"/>
    <col min="4" max="4" width="15.125" customWidth="1"/>
    <col min="5" max="5" width="14.75" customWidth="1"/>
    <col min="6" max="6" width="18.75" style="1" customWidth="1"/>
    <col min="7" max="7" width="50.875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29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4">
        <v>45537</v>
      </c>
      <c r="B4" s="5">
        <f>IF(A4="","",A4)</f>
        <v>45537</v>
      </c>
      <c r="C4" s="3"/>
      <c r="D4" s="6">
        <v>0.70833333333333337</v>
      </c>
      <c r="E4" s="6">
        <v>0.79166666666666663</v>
      </c>
      <c r="F4" s="7">
        <f>INT((HOUR(E4-D4)*60+MINUTE(E4-D4))/6)/10</f>
        <v>2</v>
      </c>
      <c r="G4" s="18" t="s">
        <v>69</v>
      </c>
      <c r="H4" s="8"/>
      <c r="J4" s="13"/>
    </row>
    <row r="5" spans="1:10" ht="18.75" x14ac:dyDescent="0.15">
      <c r="A5" s="4">
        <v>45539</v>
      </c>
      <c r="B5" s="5">
        <f t="shared" ref="B5:B26" si="0">IF(A5="","",A5)</f>
        <v>45539</v>
      </c>
      <c r="C5" s="3"/>
      <c r="D5" s="6">
        <v>0.70833333333333337</v>
      </c>
      <c r="E5" s="6">
        <v>0.8125</v>
      </c>
      <c r="F5" s="7">
        <f t="shared" ref="F5:F18" si="1">INT((HOUR(E5-D5)*60+MINUTE(E5-D5))/6)/10</f>
        <v>2.5</v>
      </c>
      <c r="G5" s="18" t="s">
        <v>69</v>
      </c>
    </row>
    <row r="6" spans="1:10" ht="18.75" x14ac:dyDescent="0.15">
      <c r="A6" s="4">
        <v>45544</v>
      </c>
      <c r="B6" s="5">
        <f t="shared" si="0"/>
        <v>45544</v>
      </c>
      <c r="C6" s="3"/>
      <c r="D6" s="6">
        <v>0.70833333333333337</v>
      </c>
      <c r="E6" s="6">
        <v>0.77083333333333337</v>
      </c>
      <c r="F6" s="7">
        <v>1</v>
      </c>
      <c r="G6" s="18" t="s">
        <v>69</v>
      </c>
    </row>
    <row r="7" spans="1:10" ht="18.75" x14ac:dyDescent="0.15">
      <c r="A7" s="4">
        <v>45545</v>
      </c>
      <c r="B7" s="5">
        <f t="shared" si="0"/>
        <v>45545</v>
      </c>
      <c r="C7" s="3"/>
      <c r="D7" s="6">
        <v>0.70833333333333337</v>
      </c>
      <c r="E7" s="6">
        <v>0.72916666666666663</v>
      </c>
      <c r="F7" s="7">
        <f t="shared" si="1"/>
        <v>0.5</v>
      </c>
      <c r="G7" s="18" t="s">
        <v>69</v>
      </c>
    </row>
    <row r="8" spans="1:10" ht="18.75" x14ac:dyDescent="0.15">
      <c r="A8" s="4">
        <v>45546</v>
      </c>
      <c r="B8" s="5">
        <f t="shared" si="0"/>
        <v>45546</v>
      </c>
      <c r="C8" s="3"/>
      <c r="D8" s="6">
        <v>0.70833333333333337</v>
      </c>
      <c r="E8" s="6">
        <v>0.77083333333333337</v>
      </c>
      <c r="F8" s="7">
        <v>1</v>
      </c>
      <c r="G8" s="18" t="s">
        <v>69</v>
      </c>
    </row>
    <row r="9" spans="1:10" ht="18.75" x14ac:dyDescent="0.15">
      <c r="A9" s="4">
        <v>45547</v>
      </c>
      <c r="B9" s="5">
        <f t="shared" si="0"/>
        <v>45547</v>
      </c>
      <c r="C9" s="3"/>
      <c r="D9" s="6">
        <v>0.70833333333333337</v>
      </c>
      <c r="E9" s="6">
        <v>0.72916666666666663</v>
      </c>
      <c r="F9" s="7">
        <f t="shared" si="1"/>
        <v>0.5</v>
      </c>
      <c r="G9" s="18" t="s">
        <v>69</v>
      </c>
    </row>
    <row r="10" spans="1:10" ht="18.75" x14ac:dyDescent="0.15">
      <c r="A10" s="4">
        <v>45552</v>
      </c>
      <c r="B10" s="5">
        <f t="shared" si="0"/>
        <v>45552</v>
      </c>
      <c r="C10" s="3">
        <v>1</v>
      </c>
      <c r="D10" s="6">
        <v>0.33333333333333331</v>
      </c>
      <c r="E10" s="6">
        <v>0.79166666666666663</v>
      </c>
      <c r="F10" s="7">
        <v>10</v>
      </c>
      <c r="G10" s="18" t="s">
        <v>69</v>
      </c>
    </row>
    <row r="11" spans="1:10" ht="18.75" x14ac:dyDescent="0.15">
      <c r="A11" s="4">
        <v>45553</v>
      </c>
      <c r="B11" s="5">
        <f t="shared" si="0"/>
        <v>45553</v>
      </c>
      <c r="C11" s="3"/>
      <c r="D11" s="6">
        <v>0.70833333333333337</v>
      </c>
      <c r="E11" s="6">
        <v>0.83333333333333337</v>
      </c>
      <c r="F11" s="7">
        <f t="shared" si="1"/>
        <v>3</v>
      </c>
      <c r="G11" s="18" t="s">
        <v>69</v>
      </c>
    </row>
    <row r="12" spans="1:10" ht="18.75" x14ac:dyDescent="0.15">
      <c r="A12" s="4">
        <v>45554</v>
      </c>
      <c r="B12" s="5">
        <f t="shared" si="0"/>
        <v>45554</v>
      </c>
      <c r="C12" s="3"/>
      <c r="D12" s="6">
        <v>0.70833333333333337</v>
      </c>
      <c r="E12" s="6">
        <v>0.72916666666666663</v>
      </c>
      <c r="F12" s="7">
        <f t="shared" si="1"/>
        <v>0.5</v>
      </c>
      <c r="G12" s="18" t="s">
        <v>69</v>
      </c>
    </row>
    <row r="13" spans="1:10" ht="18.75" x14ac:dyDescent="0.15">
      <c r="A13" s="4">
        <v>45556</v>
      </c>
      <c r="B13" s="5">
        <f t="shared" si="0"/>
        <v>45556</v>
      </c>
      <c r="C13" s="3">
        <v>1</v>
      </c>
      <c r="D13" s="6">
        <v>0.33333333333333331</v>
      </c>
      <c r="E13" s="6">
        <v>0.70833333333333337</v>
      </c>
      <c r="F13" s="7">
        <v>8</v>
      </c>
      <c r="G13" s="18" t="s">
        <v>69</v>
      </c>
    </row>
    <row r="14" spans="1:10" ht="18.75" x14ac:dyDescent="0.15">
      <c r="A14" s="4">
        <v>45558</v>
      </c>
      <c r="B14" s="5">
        <f t="shared" si="0"/>
        <v>45558</v>
      </c>
      <c r="C14" s="3"/>
      <c r="D14" s="6">
        <v>0.70833333333333337</v>
      </c>
      <c r="E14" s="6">
        <v>0.8125</v>
      </c>
      <c r="F14" s="7">
        <f t="shared" si="1"/>
        <v>2.5</v>
      </c>
      <c r="G14" s="18" t="s">
        <v>69</v>
      </c>
    </row>
    <row r="15" spans="1:10" ht="18.75" x14ac:dyDescent="0.15">
      <c r="A15" s="4">
        <v>45560</v>
      </c>
      <c r="B15" s="5">
        <f t="shared" si="0"/>
        <v>45560</v>
      </c>
      <c r="C15" s="3"/>
      <c r="D15" s="6">
        <v>0.70833333333333337</v>
      </c>
      <c r="E15" s="6">
        <v>0.79166666666666663</v>
      </c>
      <c r="F15" s="7">
        <f t="shared" si="1"/>
        <v>2</v>
      </c>
      <c r="G15" s="18" t="s">
        <v>69</v>
      </c>
    </row>
    <row r="16" spans="1:10" ht="18.75" x14ac:dyDescent="0.15">
      <c r="A16" s="4"/>
      <c r="B16" s="5" t="str">
        <f t="shared" si="0"/>
        <v/>
      </c>
      <c r="C16" s="3"/>
      <c r="D16" s="6"/>
      <c r="E16" s="6"/>
      <c r="F16" s="7">
        <f t="shared" si="1"/>
        <v>0</v>
      </c>
      <c r="G16" s="18"/>
    </row>
    <row r="17" spans="1:9" ht="18.75" x14ac:dyDescent="0.15">
      <c r="A17" s="4"/>
      <c r="B17" s="5" t="str">
        <f t="shared" si="0"/>
        <v/>
      </c>
      <c r="C17" s="3"/>
      <c r="D17" s="6"/>
      <c r="E17" s="6"/>
      <c r="F17" s="7">
        <f t="shared" si="1"/>
        <v>0</v>
      </c>
      <c r="G17" s="18"/>
    </row>
    <row r="18" spans="1:9" ht="18.75" x14ac:dyDescent="0.15">
      <c r="A18" s="4"/>
      <c r="B18" s="5" t="str">
        <f t="shared" si="0"/>
        <v/>
      </c>
      <c r="C18" s="3"/>
      <c r="D18" s="6"/>
      <c r="E18" s="6"/>
      <c r="F18" s="7">
        <f t="shared" si="1"/>
        <v>0</v>
      </c>
      <c r="G18" s="18"/>
    </row>
    <row r="19" spans="1:9" ht="18.75" x14ac:dyDescent="0.15">
      <c r="A19" s="4"/>
      <c r="B19" s="5" t="str">
        <f t="shared" si="0"/>
        <v/>
      </c>
      <c r="C19" s="3"/>
      <c r="D19" s="6"/>
      <c r="E19" s="6"/>
      <c r="F19" s="7">
        <f t="shared" ref="F19:F26" si="2">INT((HOUR(E19-D19)*60+MINUTE(E19-D19))/6)/10</f>
        <v>0</v>
      </c>
      <c r="G19" s="18"/>
      <c r="H19" s="12"/>
    </row>
    <row r="20" spans="1:9" ht="18.75" x14ac:dyDescent="0.15">
      <c r="A20" s="4"/>
      <c r="B20" s="5" t="str">
        <f t="shared" si="0"/>
        <v/>
      </c>
      <c r="C20" s="3"/>
      <c r="D20" s="6"/>
      <c r="E20" s="6"/>
      <c r="F20" s="7">
        <f t="shared" si="2"/>
        <v>0</v>
      </c>
      <c r="G20" s="18"/>
      <c r="H20" s="12"/>
    </row>
    <row r="21" spans="1:9" ht="18.75" x14ac:dyDescent="0.15">
      <c r="A21" s="4"/>
      <c r="B21" s="5" t="str">
        <f t="shared" si="0"/>
        <v/>
      </c>
      <c r="C21" s="3"/>
      <c r="D21" s="6"/>
      <c r="E21" s="6"/>
      <c r="F21" s="7">
        <f t="shared" si="2"/>
        <v>0</v>
      </c>
      <c r="G21" s="18"/>
      <c r="I21" s="14"/>
    </row>
    <row r="22" spans="1:9" ht="18.75" x14ac:dyDescent="0.15">
      <c r="A22" s="4"/>
      <c r="B22" s="5" t="str">
        <f t="shared" si="0"/>
        <v/>
      </c>
      <c r="C22" s="3"/>
      <c r="D22" s="6"/>
      <c r="E22" s="6"/>
      <c r="F22" s="7">
        <f t="shared" si="2"/>
        <v>0</v>
      </c>
      <c r="G22" s="18"/>
    </row>
    <row r="23" spans="1:9" ht="18.75" x14ac:dyDescent="0.15">
      <c r="A23" s="4"/>
      <c r="B23" s="5" t="str">
        <f t="shared" si="0"/>
        <v/>
      </c>
      <c r="C23" s="3"/>
      <c r="D23" s="6"/>
      <c r="E23" s="6"/>
      <c r="F23" s="7">
        <f t="shared" si="2"/>
        <v>0</v>
      </c>
      <c r="G23" s="18"/>
    </row>
    <row r="24" spans="1:9" ht="18.75" x14ac:dyDescent="0.15">
      <c r="A24" s="4"/>
      <c r="B24" s="5" t="str">
        <f t="shared" si="0"/>
        <v/>
      </c>
      <c r="C24" s="3"/>
      <c r="D24" s="6"/>
      <c r="E24" s="6"/>
      <c r="F24" s="7">
        <f t="shared" si="2"/>
        <v>0</v>
      </c>
      <c r="G24" s="18"/>
      <c r="H24" s="12"/>
    </row>
    <row r="25" spans="1:9" ht="18.75" x14ac:dyDescent="0.15">
      <c r="A25" s="4"/>
      <c r="B25" s="5" t="str">
        <f t="shared" si="0"/>
        <v/>
      </c>
      <c r="C25" s="3"/>
      <c r="D25" s="6"/>
      <c r="E25" s="6"/>
      <c r="F25" s="7">
        <f t="shared" si="2"/>
        <v>0</v>
      </c>
      <c r="G25" s="18"/>
      <c r="I25" s="14"/>
    </row>
    <row r="26" spans="1:9" ht="18.75" x14ac:dyDescent="0.15">
      <c r="A26" s="4"/>
      <c r="B26" s="5" t="str">
        <f t="shared" si="0"/>
        <v/>
      </c>
      <c r="C26" s="3"/>
      <c r="D26" s="6"/>
      <c r="E26" s="6"/>
      <c r="F26" s="7">
        <f t="shared" si="2"/>
        <v>0</v>
      </c>
      <c r="G26" s="18"/>
      <c r="I26" t="s">
        <v>25</v>
      </c>
    </row>
    <row r="27" spans="1:9" ht="18.75" x14ac:dyDescent="0.15">
      <c r="A27" s="51" t="s">
        <v>21</v>
      </c>
      <c r="B27" s="51"/>
      <c r="C27" s="3"/>
      <c r="D27" s="10"/>
      <c r="E27" s="10"/>
      <c r="F27" s="3">
        <f>SUM(F4:F26)</f>
        <v>33.5</v>
      </c>
      <c r="G27" s="2"/>
    </row>
    <row r="28" spans="1:9" ht="44.25" customHeight="1" x14ac:dyDescent="0.15">
      <c r="A28" s="47" t="s">
        <v>22</v>
      </c>
      <c r="B28" s="47"/>
      <c r="C28" s="47"/>
      <c r="D28" s="47"/>
      <c r="E28" s="47"/>
      <c r="F28" s="3">
        <f>SUMIF($C$4:$C$26,"",F4:F26)</f>
        <v>15.5</v>
      </c>
      <c r="G28" s="2"/>
    </row>
    <row r="29" spans="1:9" ht="51.75" customHeight="1" x14ac:dyDescent="0.15">
      <c r="A29" s="47" t="s">
        <v>23</v>
      </c>
      <c r="B29" s="47"/>
      <c r="C29" s="47"/>
      <c r="D29" s="47"/>
      <c r="E29" s="47"/>
      <c r="F29" s="3">
        <f>SUMIF($C$4:$C$26,"1",F4:F26)</f>
        <v>18</v>
      </c>
      <c r="G29" s="2"/>
    </row>
  </sheetData>
  <mergeCells count="6">
    <mergeCell ref="A29:E29"/>
    <mergeCell ref="A1:G1"/>
    <mergeCell ref="A2:D2"/>
    <mergeCell ref="E2:G2"/>
    <mergeCell ref="A27:B27"/>
    <mergeCell ref="A28:E28"/>
  </mergeCells>
  <phoneticPr fontId="14" type="noConversion"/>
  <pageMargins left="0.7" right="0.7" top="0.75" bottom="0.75" header="0.3" footer="0.3"/>
  <pageSetup paperSize="9" orientation="portrait" horizontalDpi="2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J19"/>
  <sheetViews>
    <sheetView zoomScale="85" zoomScaleNormal="85" workbookViewId="0">
      <pane ySplit="3" topLeftCell="A4" activePane="bottomLeft" state="frozen"/>
      <selection pane="bottomLeft" activeCell="E10" sqref="E10"/>
    </sheetView>
  </sheetViews>
  <sheetFormatPr defaultColWidth="9" defaultRowHeight="13.5" x14ac:dyDescent="0.15"/>
  <cols>
    <col min="1" max="1" width="14.25" customWidth="1"/>
    <col min="2" max="2" width="8.875" customWidth="1"/>
    <col min="3" max="3" width="6" style="1" customWidth="1"/>
    <col min="4" max="4" width="15.125" customWidth="1"/>
    <col min="5" max="5" width="14.75" customWidth="1"/>
    <col min="6" max="6" width="18.75" style="1" customWidth="1"/>
    <col min="7" max="7" width="50.875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30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4">
        <v>45548</v>
      </c>
      <c r="B4" s="5">
        <f>IF(A4="","",A4)</f>
        <v>45548</v>
      </c>
      <c r="C4" s="3"/>
      <c r="D4" s="6">
        <v>0.70833333333333337</v>
      </c>
      <c r="E4" s="6">
        <v>0.81666666666666676</v>
      </c>
      <c r="F4" s="7">
        <f>INT((HOUR(E4-D4)*60+MINUTE(E4-D4))/6)/10</f>
        <v>2.6</v>
      </c>
      <c r="G4" s="5" t="s">
        <v>59</v>
      </c>
      <c r="H4" s="8"/>
      <c r="J4" s="13"/>
    </row>
    <row r="5" spans="1:10" ht="18.75" x14ac:dyDescent="0.15">
      <c r="A5" s="9"/>
      <c r="B5" s="5" t="str">
        <f>IF(A5="","",A5)</f>
        <v/>
      </c>
      <c r="C5" s="3"/>
      <c r="D5" s="10"/>
      <c r="E5" s="10"/>
      <c r="F5" s="7">
        <f t="shared" ref="F5:F6" si="0">INT((HOUR(E5-D5)*60+MINUTE(E5-D5))/6)/10</f>
        <v>0</v>
      </c>
      <c r="G5" s="2"/>
    </row>
    <row r="6" spans="1:10" ht="18.75" x14ac:dyDescent="0.15">
      <c r="A6" s="9"/>
      <c r="B6" s="5" t="str">
        <f>IF(A6="","",A6)</f>
        <v/>
      </c>
      <c r="C6" s="3"/>
      <c r="D6" s="10"/>
      <c r="E6" s="10"/>
      <c r="F6" s="7">
        <f t="shared" si="0"/>
        <v>0</v>
      </c>
      <c r="G6" s="2"/>
    </row>
    <row r="7" spans="1:10" ht="18.75" x14ac:dyDescent="0.15">
      <c r="A7" s="9"/>
      <c r="B7" s="5" t="str">
        <f t="shared" ref="B7:B10" si="1">IF(A7="","",A7)</f>
        <v/>
      </c>
      <c r="C7" s="3"/>
      <c r="D7" s="10"/>
      <c r="E7" s="10"/>
      <c r="F7" s="7">
        <f t="shared" ref="F7:F10" si="2">INT((HOUR(E7-D7)*60+MINUTE(E7-D7))/6)/10</f>
        <v>0</v>
      </c>
      <c r="G7" s="2"/>
    </row>
    <row r="8" spans="1:10" ht="18.75" x14ac:dyDescent="0.15">
      <c r="A8" s="9"/>
      <c r="B8" s="5" t="str">
        <f t="shared" si="1"/>
        <v/>
      </c>
      <c r="C8" s="3"/>
      <c r="D8" s="10"/>
      <c r="E8" s="10"/>
      <c r="F8" s="7">
        <f t="shared" si="2"/>
        <v>0</v>
      </c>
      <c r="G8" s="2"/>
    </row>
    <row r="9" spans="1:10" ht="18.75" x14ac:dyDescent="0.15">
      <c r="A9" s="9"/>
      <c r="B9" s="5" t="str">
        <f t="shared" si="1"/>
        <v/>
      </c>
      <c r="C9" s="3"/>
      <c r="D9" s="10"/>
      <c r="E9" s="10"/>
      <c r="F9" s="7">
        <f t="shared" si="2"/>
        <v>0</v>
      </c>
      <c r="G9" s="2"/>
    </row>
    <row r="10" spans="1:10" ht="18.75" x14ac:dyDescent="0.15">
      <c r="A10" s="9"/>
      <c r="B10" s="5" t="str">
        <f t="shared" si="1"/>
        <v/>
      </c>
      <c r="C10" s="3"/>
      <c r="D10" s="10"/>
      <c r="E10" s="10"/>
      <c r="F10" s="7">
        <f t="shared" si="2"/>
        <v>0</v>
      </c>
      <c r="G10" s="2"/>
    </row>
    <row r="11" spans="1:10" ht="18.75" hidden="1" x14ac:dyDescent="0.15">
      <c r="A11" s="9"/>
      <c r="B11" s="11"/>
      <c r="C11" s="3"/>
      <c r="D11" s="10"/>
      <c r="E11" s="10"/>
      <c r="F11" s="3"/>
      <c r="G11" s="2"/>
      <c r="H11" s="12"/>
    </row>
    <row r="12" spans="1:10" ht="18.75" hidden="1" x14ac:dyDescent="0.15">
      <c r="A12" s="9"/>
      <c r="B12" s="11"/>
      <c r="C12" s="3"/>
      <c r="D12" s="10"/>
      <c r="E12" s="10"/>
      <c r="F12" s="3"/>
      <c r="G12" s="2"/>
      <c r="I12" s="14"/>
    </row>
    <row r="13" spans="1:10" ht="18.75" hidden="1" x14ac:dyDescent="0.15">
      <c r="A13" s="9"/>
      <c r="B13" s="11"/>
      <c r="C13" s="3"/>
      <c r="D13" s="10"/>
      <c r="E13" s="10"/>
      <c r="F13" s="3"/>
      <c r="G13" s="2"/>
    </row>
    <row r="14" spans="1:10" ht="18.75" hidden="1" x14ac:dyDescent="0.15">
      <c r="A14" s="9"/>
      <c r="B14" s="11"/>
      <c r="C14" s="3"/>
      <c r="D14" s="10"/>
      <c r="E14" s="10"/>
      <c r="F14" s="3"/>
      <c r="G14" s="2"/>
      <c r="H14" s="12"/>
    </row>
    <row r="15" spans="1:10" ht="18.75" hidden="1" x14ac:dyDescent="0.15">
      <c r="A15" s="9"/>
      <c r="B15" s="11"/>
      <c r="C15" s="3"/>
      <c r="D15" s="10"/>
      <c r="E15" s="10"/>
      <c r="F15" s="3"/>
      <c r="G15" s="2"/>
      <c r="I15" s="14"/>
    </row>
    <row r="16" spans="1:10" ht="18.75" hidden="1" x14ac:dyDescent="0.15">
      <c r="A16" s="9"/>
      <c r="B16" s="11"/>
      <c r="C16" s="3"/>
      <c r="D16" s="10"/>
      <c r="E16" s="10"/>
      <c r="F16" s="3"/>
      <c r="G16" s="2"/>
      <c r="I16" t="s">
        <v>25</v>
      </c>
    </row>
    <row r="17" spans="1:7" ht="18.75" x14ac:dyDescent="0.15">
      <c r="A17" s="51" t="s">
        <v>21</v>
      </c>
      <c r="B17" s="51"/>
      <c r="C17" s="3"/>
      <c r="D17" s="10"/>
      <c r="E17" s="10"/>
      <c r="F17" s="3">
        <f>SUM(F4:F16)</f>
        <v>2.6</v>
      </c>
      <c r="G17" s="2"/>
    </row>
    <row r="18" spans="1:7" ht="44.25" customHeight="1" x14ac:dyDescent="0.15">
      <c r="A18" s="47" t="s">
        <v>22</v>
      </c>
      <c r="B18" s="47"/>
      <c r="C18" s="47"/>
      <c r="D18" s="47"/>
      <c r="E18" s="47"/>
      <c r="F18" s="3">
        <f>SUMIF($C$4:$C$16,"",F4:F16)</f>
        <v>2.6</v>
      </c>
      <c r="G18" s="2"/>
    </row>
    <row r="19" spans="1:7" ht="51.75" customHeight="1" x14ac:dyDescent="0.15">
      <c r="A19" s="47" t="s">
        <v>23</v>
      </c>
      <c r="B19" s="47"/>
      <c r="C19" s="47"/>
      <c r="D19" s="47"/>
      <c r="E19" s="47"/>
      <c r="F19" s="3">
        <f>SUMIF($C$4:$C$16,"1",F4:F16)</f>
        <v>0</v>
      </c>
      <c r="G19" s="2"/>
    </row>
  </sheetData>
  <mergeCells count="6">
    <mergeCell ref="A19:E19"/>
    <mergeCell ref="A1:G1"/>
    <mergeCell ref="A2:D2"/>
    <mergeCell ref="E2:G2"/>
    <mergeCell ref="A17:B17"/>
    <mergeCell ref="A18:E18"/>
  </mergeCells>
  <phoneticPr fontId="14" type="noConversion"/>
  <pageMargins left="0.7" right="0.7" top="0.75" bottom="0.75" header="0.3" footer="0.3"/>
  <pageSetup paperSize="9" orientation="portrait" horizontalDpi="2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J25"/>
  <sheetViews>
    <sheetView zoomScale="85" zoomScaleNormal="85" workbookViewId="0">
      <pane ySplit="3" topLeftCell="A4" activePane="bottomLeft" state="frozen"/>
      <selection pane="bottomLeft" activeCell="F25" sqref="F25"/>
    </sheetView>
  </sheetViews>
  <sheetFormatPr defaultColWidth="9" defaultRowHeight="13.5" x14ac:dyDescent="0.15"/>
  <cols>
    <col min="1" max="1" width="14.25" customWidth="1"/>
    <col min="2" max="2" width="8.875" customWidth="1"/>
    <col min="3" max="3" width="6" style="1" customWidth="1"/>
    <col min="4" max="4" width="15.125" customWidth="1"/>
    <col min="5" max="5" width="14.75" customWidth="1"/>
    <col min="6" max="6" width="18.75" style="1" customWidth="1"/>
    <col min="7" max="7" width="69.375" bestFit="1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31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4">
        <v>45536</v>
      </c>
      <c r="B4" s="5">
        <f>IF(A4="","",A4)</f>
        <v>45536</v>
      </c>
      <c r="C4" s="3">
        <v>1</v>
      </c>
      <c r="D4" s="6">
        <v>0.33333333333333331</v>
      </c>
      <c r="E4" s="6">
        <v>0.70833333333333337</v>
      </c>
      <c r="F4" s="7">
        <v>8</v>
      </c>
      <c r="G4" s="5" t="s">
        <v>47</v>
      </c>
      <c r="H4" s="8"/>
      <c r="J4" s="13"/>
    </row>
    <row r="5" spans="1:10" ht="18.75" x14ac:dyDescent="0.15">
      <c r="A5" s="4">
        <v>45537</v>
      </c>
      <c r="B5" s="5">
        <f t="shared" ref="B5:B16" si="0">IF(A5="","",A5)</f>
        <v>45537</v>
      </c>
      <c r="C5" s="3"/>
      <c r="D5" s="10">
        <v>0.70833333333333337</v>
      </c>
      <c r="E5" s="10">
        <v>6.9444444444444447E-4</v>
      </c>
      <c r="F5" s="7">
        <v>7</v>
      </c>
      <c r="G5" s="2" t="s">
        <v>48</v>
      </c>
    </row>
    <row r="6" spans="1:10" ht="18.75" x14ac:dyDescent="0.15">
      <c r="A6" s="9">
        <v>45538</v>
      </c>
      <c r="B6" s="5">
        <f t="shared" si="0"/>
        <v>45538</v>
      </c>
      <c r="C6" s="3"/>
      <c r="D6" s="10">
        <v>0.70833333333333337</v>
      </c>
      <c r="E6" s="10">
        <v>0.7944444444444444</v>
      </c>
      <c r="F6" s="7">
        <f t="shared" ref="F6:F22" si="1">INT((HOUR(E6-D6)*60+MINUTE(E6-D6))/6)/10</f>
        <v>2</v>
      </c>
      <c r="G6" s="2" t="s">
        <v>49</v>
      </c>
    </row>
    <row r="7" spans="1:10" ht="18.75" x14ac:dyDescent="0.15">
      <c r="A7" s="9">
        <v>45539</v>
      </c>
      <c r="B7" s="5">
        <f t="shared" si="0"/>
        <v>45539</v>
      </c>
      <c r="C7" s="3"/>
      <c r="D7" s="10">
        <v>0.70833333333333337</v>
      </c>
      <c r="E7" s="10">
        <v>0.7944444444444444</v>
      </c>
      <c r="F7" s="7">
        <f t="shared" si="1"/>
        <v>2</v>
      </c>
      <c r="G7" s="2" t="s">
        <v>49</v>
      </c>
    </row>
    <row r="8" spans="1:10" ht="18.75" x14ac:dyDescent="0.15">
      <c r="A8" s="9">
        <v>45540</v>
      </c>
      <c r="B8" s="5">
        <f t="shared" si="0"/>
        <v>45540</v>
      </c>
      <c r="C8" s="3"/>
      <c r="D8" s="10">
        <v>0.70833333333333337</v>
      </c>
      <c r="E8" s="10">
        <v>0.79513888888888884</v>
      </c>
      <c r="F8" s="7">
        <f t="shared" si="1"/>
        <v>2</v>
      </c>
      <c r="G8" s="2" t="s">
        <v>50</v>
      </c>
    </row>
    <row r="9" spans="1:10" ht="18.75" x14ac:dyDescent="0.15">
      <c r="A9" s="9">
        <v>45541</v>
      </c>
      <c r="B9" s="5">
        <f t="shared" si="0"/>
        <v>45541</v>
      </c>
      <c r="C9" s="3"/>
      <c r="D9" s="10">
        <v>0.70833333333333337</v>
      </c>
      <c r="E9" s="10">
        <v>0.79652777777777783</v>
      </c>
      <c r="F9" s="7">
        <f t="shared" si="1"/>
        <v>2.1</v>
      </c>
      <c r="G9" s="2" t="s">
        <v>49</v>
      </c>
    </row>
    <row r="10" spans="1:10" ht="18.75" x14ac:dyDescent="0.15">
      <c r="A10" s="9">
        <v>45544</v>
      </c>
      <c r="B10" s="5">
        <f t="shared" si="0"/>
        <v>45544</v>
      </c>
      <c r="C10" s="3"/>
      <c r="D10" s="10">
        <v>0.70833333333333337</v>
      </c>
      <c r="E10" s="10">
        <v>0.88541666666666663</v>
      </c>
      <c r="F10" s="7">
        <f t="shared" si="1"/>
        <v>4.2</v>
      </c>
      <c r="G10" s="2" t="s">
        <v>51</v>
      </c>
      <c r="H10" s="12"/>
    </row>
    <row r="11" spans="1:10" ht="18.75" x14ac:dyDescent="0.15">
      <c r="A11" s="4">
        <v>45545</v>
      </c>
      <c r="B11" s="5">
        <f t="shared" si="0"/>
        <v>45545</v>
      </c>
      <c r="C11" s="3"/>
      <c r="D11" s="6">
        <v>0.70833333333333337</v>
      </c>
      <c r="E11" s="6">
        <v>0.95833333333333337</v>
      </c>
      <c r="F11" s="7">
        <f t="shared" si="1"/>
        <v>6</v>
      </c>
      <c r="G11" s="5" t="s">
        <v>52</v>
      </c>
      <c r="H11" s="8"/>
      <c r="J11" s="13"/>
    </row>
    <row r="12" spans="1:10" ht="18.75" x14ac:dyDescent="0.15">
      <c r="A12" s="4">
        <v>45546</v>
      </c>
      <c r="B12" s="5">
        <f t="shared" si="0"/>
        <v>45546</v>
      </c>
      <c r="C12" s="3"/>
      <c r="D12" s="10">
        <v>0.70833333333333337</v>
      </c>
      <c r="E12" s="10">
        <v>0.83333333333333337</v>
      </c>
      <c r="F12" s="7">
        <f t="shared" si="1"/>
        <v>3</v>
      </c>
      <c r="G12" s="2" t="s">
        <v>49</v>
      </c>
    </row>
    <row r="13" spans="1:10" ht="18.75" x14ac:dyDescent="0.15">
      <c r="A13" s="9">
        <v>45547</v>
      </c>
      <c r="B13" s="5">
        <f t="shared" si="0"/>
        <v>45547</v>
      </c>
      <c r="C13" s="3"/>
      <c r="D13" s="10">
        <v>0.70833333333333337</v>
      </c>
      <c r="E13" s="10">
        <v>0.85416666666666663</v>
      </c>
      <c r="F13" s="7">
        <f t="shared" si="1"/>
        <v>3.5</v>
      </c>
      <c r="G13" s="2" t="s">
        <v>53</v>
      </c>
    </row>
    <row r="14" spans="1:10" ht="18.75" x14ac:dyDescent="0.15">
      <c r="A14" s="9">
        <v>45548</v>
      </c>
      <c r="B14" s="5">
        <f t="shared" si="0"/>
        <v>45548</v>
      </c>
      <c r="C14" s="3"/>
      <c r="D14" s="10">
        <v>0.70833333333333337</v>
      </c>
      <c r="E14" s="10">
        <v>0.72638888888888886</v>
      </c>
      <c r="F14" s="7">
        <f t="shared" si="1"/>
        <v>0.4</v>
      </c>
      <c r="G14" s="2" t="s">
        <v>53</v>
      </c>
    </row>
    <row r="15" spans="1:10" ht="18.75" x14ac:dyDescent="0.15">
      <c r="A15" s="9">
        <v>45550</v>
      </c>
      <c r="B15" s="5">
        <f t="shared" si="0"/>
        <v>45550</v>
      </c>
      <c r="C15" s="3">
        <v>1</v>
      </c>
      <c r="D15" s="10">
        <v>0.33333333333333331</v>
      </c>
      <c r="E15" s="10">
        <v>0.70833333333333337</v>
      </c>
      <c r="F15" s="7">
        <v>8</v>
      </c>
      <c r="G15" s="2" t="s">
        <v>54</v>
      </c>
    </row>
    <row r="16" spans="1:10" ht="18.75" x14ac:dyDescent="0.15">
      <c r="A16" s="9">
        <v>45562</v>
      </c>
      <c r="B16" s="5">
        <f t="shared" si="0"/>
        <v>45562</v>
      </c>
      <c r="C16" s="3"/>
      <c r="D16" s="10">
        <v>0.70833333333333337</v>
      </c>
      <c r="E16" s="10">
        <v>0.7597222222222223</v>
      </c>
      <c r="F16" s="7">
        <f t="shared" si="1"/>
        <v>1.2</v>
      </c>
      <c r="G16" s="2" t="s">
        <v>76</v>
      </c>
    </row>
    <row r="17" spans="1:9" ht="18.75" x14ac:dyDescent="0.15">
      <c r="A17" s="9"/>
      <c r="B17" s="5"/>
      <c r="C17" s="3"/>
      <c r="D17" s="10"/>
      <c r="E17" s="10"/>
      <c r="F17" s="7">
        <f t="shared" si="1"/>
        <v>0</v>
      </c>
      <c r="G17" s="2"/>
      <c r="H17" s="12"/>
    </row>
    <row r="18" spans="1:9" ht="18.75" x14ac:dyDescent="0.15">
      <c r="A18" s="9"/>
      <c r="B18" s="5"/>
      <c r="C18" s="3"/>
      <c r="D18" s="10"/>
      <c r="E18" s="10"/>
      <c r="F18" s="7">
        <f t="shared" si="1"/>
        <v>0</v>
      </c>
      <c r="G18" s="40"/>
      <c r="I18" s="14"/>
    </row>
    <row r="19" spans="1:9" ht="18.75" x14ac:dyDescent="0.15">
      <c r="A19" s="9"/>
      <c r="B19" s="5"/>
      <c r="C19" s="3"/>
      <c r="D19" s="10"/>
      <c r="E19" s="10"/>
      <c r="F19" s="7">
        <f t="shared" si="1"/>
        <v>0</v>
      </c>
      <c r="G19" s="2"/>
    </row>
    <row r="20" spans="1:9" ht="18.75" x14ac:dyDescent="0.15">
      <c r="A20" s="9"/>
      <c r="B20" s="5"/>
      <c r="C20" s="3"/>
      <c r="D20" s="10"/>
      <c r="E20" s="10"/>
      <c r="F20" s="7">
        <f t="shared" si="1"/>
        <v>0</v>
      </c>
      <c r="G20" s="2"/>
      <c r="H20" s="12"/>
    </row>
    <row r="21" spans="1:9" ht="18.75" x14ac:dyDescent="0.15">
      <c r="A21" s="9"/>
      <c r="B21" s="5"/>
      <c r="C21" s="3"/>
      <c r="D21" s="10"/>
      <c r="E21" s="10"/>
      <c r="F21" s="7">
        <f t="shared" si="1"/>
        <v>0</v>
      </c>
      <c r="G21" s="2"/>
      <c r="I21" s="14"/>
    </row>
    <row r="22" spans="1:9" ht="18.75" x14ac:dyDescent="0.15">
      <c r="A22" s="9"/>
      <c r="B22" s="5"/>
      <c r="C22" s="3"/>
      <c r="D22" s="10"/>
      <c r="E22" s="10"/>
      <c r="F22" s="7">
        <f t="shared" si="1"/>
        <v>0</v>
      </c>
      <c r="G22" s="2"/>
      <c r="I22" t="s">
        <v>25</v>
      </c>
    </row>
    <row r="23" spans="1:9" ht="18.75" x14ac:dyDescent="0.15">
      <c r="A23" s="51"/>
      <c r="B23" s="51"/>
      <c r="C23" s="3"/>
      <c r="D23" s="10"/>
      <c r="E23" s="10"/>
      <c r="F23" s="3">
        <f>SUM(F4:F22)</f>
        <v>49.4</v>
      </c>
      <c r="G23" s="2"/>
    </row>
    <row r="24" spans="1:9" ht="44.25" customHeight="1" x14ac:dyDescent="0.15">
      <c r="A24" s="47" t="s">
        <v>22</v>
      </c>
      <c r="B24" s="47"/>
      <c r="C24" s="47"/>
      <c r="D24" s="47"/>
      <c r="E24" s="47"/>
      <c r="F24" s="3">
        <f>SUMIF($C$4:$C$22,"",F4:F22)</f>
        <v>33.400000000000006</v>
      </c>
      <c r="G24" s="2"/>
    </row>
    <row r="25" spans="1:9" ht="51.75" customHeight="1" x14ac:dyDescent="0.15">
      <c r="A25" s="47" t="s">
        <v>23</v>
      </c>
      <c r="B25" s="47"/>
      <c r="C25" s="47"/>
      <c r="D25" s="47"/>
      <c r="E25" s="47"/>
      <c r="F25" s="3">
        <f>SUMIF($C$4:$C$22,"1",F4:F22)-2.5</f>
        <v>13.5</v>
      </c>
      <c r="G25" s="2"/>
    </row>
  </sheetData>
  <mergeCells count="6">
    <mergeCell ref="A25:E25"/>
    <mergeCell ref="A1:G1"/>
    <mergeCell ref="A2:D2"/>
    <mergeCell ref="E2:G2"/>
    <mergeCell ref="A23:B23"/>
    <mergeCell ref="A24:E24"/>
  </mergeCells>
  <phoneticPr fontId="14" type="noConversion"/>
  <pageMargins left="0.7" right="0.7" top="0.75" bottom="0.75" header="0.3" footer="0.3"/>
  <pageSetup paperSize="9" orientation="portrait" horizontalDpi="2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J23"/>
  <sheetViews>
    <sheetView zoomScale="85" zoomScaleNormal="85" workbookViewId="0">
      <pane ySplit="3" topLeftCell="A4" activePane="bottomLeft" state="frozen"/>
      <selection pane="bottomLeft" activeCell="F22" sqref="F22"/>
    </sheetView>
  </sheetViews>
  <sheetFormatPr defaultColWidth="9" defaultRowHeight="13.5" x14ac:dyDescent="0.15"/>
  <cols>
    <col min="1" max="1" width="14.25" customWidth="1"/>
    <col min="2" max="2" width="8.875" customWidth="1"/>
    <col min="3" max="3" width="6" style="1" customWidth="1"/>
    <col min="4" max="4" width="15.125" customWidth="1"/>
    <col min="5" max="5" width="14.75" customWidth="1"/>
    <col min="6" max="6" width="18.75" style="1" customWidth="1"/>
    <col min="7" max="7" width="50.875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32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4">
        <v>45537</v>
      </c>
      <c r="B4" s="5">
        <f t="shared" ref="B4:B20" si="0">IF(A4="","",A4)</f>
        <v>45537</v>
      </c>
      <c r="C4" s="3"/>
      <c r="D4" s="6">
        <v>0.70833333333333337</v>
      </c>
      <c r="E4" s="6">
        <v>0.79166666666666663</v>
      </c>
      <c r="F4" s="7">
        <f>INT((HOUR(E4-D4)*60+MINUTE(E4-D4))/6)/10</f>
        <v>2</v>
      </c>
      <c r="G4" s="5" t="s">
        <v>62</v>
      </c>
      <c r="H4" s="8"/>
      <c r="J4" s="13"/>
    </row>
    <row r="5" spans="1:10" ht="18.75" x14ac:dyDescent="0.15">
      <c r="A5" s="9">
        <v>45539</v>
      </c>
      <c r="B5" s="5">
        <f t="shared" si="0"/>
        <v>45539</v>
      </c>
      <c r="C5" s="3"/>
      <c r="D5" s="10">
        <v>0.70833333333333337</v>
      </c>
      <c r="E5" s="10">
        <v>0.75347222222222221</v>
      </c>
      <c r="F5" s="7">
        <v>0.5</v>
      </c>
      <c r="G5" s="2" t="s">
        <v>62</v>
      </c>
    </row>
    <row r="6" spans="1:10" ht="18.75" x14ac:dyDescent="0.15">
      <c r="A6" s="9">
        <v>45544</v>
      </c>
      <c r="B6" s="5">
        <f t="shared" si="0"/>
        <v>45544</v>
      </c>
      <c r="C6" s="3"/>
      <c r="D6" s="10">
        <v>0.70833333333333337</v>
      </c>
      <c r="E6" s="10">
        <v>0.77083333333333337</v>
      </c>
      <c r="F6" s="7">
        <v>1</v>
      </c>
      <c r="G6" s="2" t="s">
        <v>62</v>
      </c>
    </row>
    <row r="7" spans="1:10" ht="18.75" x14ac:dyDescent="0.15">
      <c r="A7" s="9">
        <v>45552</v>
      </c>
      <c r="B7" s="5">
        <f t="shared" si="0"/>
        <v>45552</v>
      </c>
      <c r="C7" s="3">
        <v>1</v>
      </c>
      <c r="D7" s="10">
        <v>0.33333333333333331</v>
      </c>
      <c r="E7" s="10">
        <v>0.79166666666666663</v>
      </c>
      <c r="F7" s="7">
        <v>10</v>
      </c>
      <c r="G7" s="2" t="s">
        <v>62</v>
      </c>
    </row>
    <row r="8" spans="1:10" ht="18.75" x14ac:dyDescent="0.15">
      <c r="A8" s="9">
        <v>45553</v>
      </c>
      <c r="B8" s="5">
        <f t="shared" si="0"/>
        <v>45553</v>
      </c>
      <c r="C8" s="3"/>
      <c r="D8" s="10">
        <v>0.70833333333333337</v>
      </c>
      <c r="E8" s="10">
        <v>0.83333333333333337</v>
      </c>
      <c r="F8" s="7">
        <f t="shared" ref="F8:F18" si="1">INT((HOUR(E8-D8)*60+MINUTE(E8-D8))/6)/10</f>
        <v>3</v>
      </c>
      <c r="G8" s="2" t="s">
        <v>62</v>
      </c>
    </row>
    <row r="9" spans="1:10" ht="18.75" x14ac:dyDescent="0.15">
      <c r="A9" s="9">
        <v>45556</v>
      </c>
      <c r="B9" s="5">
        <f t="shared" si="0"/>
        <v>45556</v>
      </c>
      <c r="C9" s="3">
        <v>1</v>
      </c>
      <c r="D9" s="10">
        <v>0.33333333333333331</v>
      </c>
      <c r="E9" s="10">
        <v>0.70833333333333337</v>
      </c>
      <c r="F9" s="7">
        <v>8</v>
      </c>
      <c r="G9" s="2" t="s">
        <v>62</v>
      </c>
    </row>
    <row r="10" spans="1:10" ht="18.75" x14ac:dyDescent="0.15">
      <c r="A10" s="9">
        <v>45558</v>
      </c>
      <c r="B10" s="5">
        <f t="shared" si="0"/>
        <v>45558</v>
      </c>
      <c r="C10" s="3"/>
      <c r="D10" s="10">
        <v>0.70833333333333337</v>
      </c>
      <c r="E10" s="10">
        <v>0.80555555555555547</v>
      </c>
      <c r="F10" s="7">
        <f t="shared" si="1"/>
        <v>2.2999999999999998</v>
      </c>
      <c r="G10" s="2" t="s">
        <v>62</v>
      </c>
    </row>
    <row r="11" spans="1:10" ht="18.75" x14ac:dyDescent="0.15">
      <c r="A11" s="9">
        <v>45560</v>
      </c>
      <c r="B11" s="5">
        <f t="shared" si="0"/>
        <v>45560</v>
      </c>
      <c r="C11" s="3"/>
      <c r="D11" s="10">
        <v>0.70833333333333337</v>
      </c>
      <c r="E11" s="10">
        <v>0.79166666666666663</v>
      </c>
      <c r="F11" s="7">
        <f t="shared" si="1"/>
        <v>2</v>
      </c>
      <c r="G11" s="2" t="s">
        <v>62</v>
      </c>
    </row>
    <row r="12" spans="1:10" ht="18.75" x14ac:dyDescent="0.15">
      <c r="A12" s="9"/>
      <c r="B12" s="5" t="str">
        <f t="shared" si="0"/>
        <v/>
      </c>
      <c r="C12" s="3"/>
      <c r="D12" s="10"/>
      <c r="E12" s="10"/>
      <c r="F12" s="7">
        <f t="shared" si="1"/>
        <v>0</v>
      </c>
      <c r="G12" s="2"/>
      <c r="H12" s="12"/>
    </row>
    <row r="13" spans="1:10" ht="18.75" x14ac:dyDescent="0.15">
      <c r="A13" s="9"/>
      <c r="B13" s="5" t="str">
        <f t="shared" si="0"/>
        <v/>
      </c>
      <c r="C13" s="3"/>
      <c r="D13" s="10"/>
      <c r="E13" s="10"/>
      <c r="F13" s="7">
        <f t="shared" si="1"/>
        <v>0</v>
      </c>
      <c r="G13" s="2"/>
      <c r="I13" s="14"/>
    </row>
    <row r="14" spans="1:10" ht="18.75" x14ac:dyDescent="0.15">
      <c r="A14" s="9"/>
      <c r="B14" s="5" t="str">
        <f t="shared" si="0"/>
        <v/>
      </c>
      <c r="C14" s="3"/>
      <c r="D14" s="10"/>
      <c r="E14" s="10"/>
      <c r="F14" s="7">
        <f t="shared" si="1"/>
        <v>0</v>
      </c>
      <c r="G14" s="2"/>
    </row>
    <row r="15" spans="1:10" ht="18.75" x14ac:dyDescent="0.15">
      <c r="A15" s="9"/>
      <c r="B15" s="5" t="str">
        <f t="shared" si="0"/>
        <v/>
      </c>
      <c r="C15" s="3"/>
      <c r="D15" s="10"/>
      <c r="E15" s="10"/>
      <c r="F15" s="7">
        <f t="shared" si="1"/>
        <v>0</v>
      </c>
      <c r="G15" s="2"/>
      <c r="H15" s="12"/>
    </row>
    <row r="16" spans="1:10" ht="18.75" x14ac:dyDescent="0.15">
      <c r="A16" s="9"/>
      <c r="B16" s="5" t="str">
        <f t="shared" si="0"/>
        <v/>
      </c>
      <c r="C16" s="3"/>
      <c r="D16" s="10"/>
      <c r="E16" s="10"/>
      <c r="F16" s="7">
        <f t="shared" si="1"/>
        <v>0</v>
      </c>
      <c r="G16" s="2"/>
      <c r="I16" s="14"/>
    </row>
    <row r="17" spans="1:9" ht="18.75" x14ac:dyDescent="0.15">
      <c r="A17" s="9"/>
      <c r="B17" s="5" t="str">
        <f t="shared" si="0"/>
        <v/>
      </c>
      <c r="C17" s="3"/>
      <c r="D17" s="10"/>
      <c r="E17" s="10"/>
      <c r="F17" s="7">
        <f t="shared" si="1"/>
        <v>0</v>
      </c>
      <c r="G17" s="2"/>
      <c r="I17" t="s">
        <v>25</v>
      </c>
    </row>
    <row r="18" spans="1:9" ht="18.75" x14ac:dyDescent="0.15">
      <c r="A18" s="9"/>
      <c r="B18" s="5" t="str">
        <f t="shared" ref="B18" si="2">IF(A18="","",A18)</f>
        <v/>
      </c>
      <c r="C18" s="3"/>
      <c r="D18" s="10"/>
      <c r="E18" s="10"/>
      <c r="F18" s="7">
        <f t="shared" si="1"/>
        <v>0</v>
      </c>
      <c r="G18" s="2"/>
      <c r="I18" t="s">
        <v>25</v>
      </c>
    </row>
    <row r="19" spans="1:9" ht="18.75" x14ac:dyDescent="0.15">
      <c r="A19" s="9"/>
      <c r="B19" s="5" t="str">
        <f t="shared" ref="B19" si="3">IF(A19="","",A19)</f>
        <v/>
      </c>
      <c r="C19" s="3"/>
      <c r="D19" s="10"/>
      <c r="E19" s="10"/>
      <c r="F19" s="7">
        <f t="shared" ref="F19" si="4">INT((HOUR(E19-D19)*60+MINUTE(E19-D19))/6)/10</f>
        <v>0</v>
      </c>
      <c r="G19" s="2"/>
      <c r="I19" t="s">
        <v>25</v>
      </c>
    </row>
    <row r="20" spans="1:9" ht="18.75" x14ac:dyDescent="0.15">
      <c r="A20" s="9"/>
      <c r="B20" s="5" t="str">
        <f t="shared" si="0"/>
        <v/>
      </c>
      <c r="C20" s="3"/>
      <c r="D20" s="10"/>
      <c r="E20" s="10"/>
      <c r="F20" s="7">
        <f t="shared" ref="F20" si="5">INT((HOUR(E20-D20)*60+MINUTE(E20-D20))/6)/10</f>
        <v>0</v>
      </c>
      <c r="G20" s="2"/>
      <c r="I20" t="s">
        <v>25</v>
      </c>
    </row>
    <row r="21" spans="1:9" ht="18.75" x14ac:dyDescent="0.15">
      <c r="A21" s="51" t="s">
        <v>21</v>
      </c>
      <c r="B21" s="51"/>
      <c r="C21" s="3"/>
      <c r="D21" s="10"/>
      <c r="E21" s="10"/>
      <c r="F21" s="3">
        <f>SUM(F4:F20)</f>
        <v>28.8</v>
      </c>
      <c r="G21" s="2"/>
    </row>
    <row r="22" spans="1:9" ht="44.25" customHeight="1" x14ac:dyDescent="0.15">
      <c r="A22" s="47" t="s">
        <v>22</v>
      </c>
      <c r="B22" s="47"/>
      <c r="C22" s="47"/>
      <c r="D22" s="47"/>
      <c r="E22" s="47"/>
      <c r="F22" s="3">
        <f>SUMIF($C$4:$C$20,"",F4:F20)-3.5</f>
        <v>7.3000000000000007</v>
      </c>
      <c r="G22" s="2"/>
    </row>
    <row r="23" spans="1:9" ht="51.75" customHeight="1" x14ac:dyDescent="0.15">
      <c r="A23" s="47" t="s">
        <v>23</v>
      </c>
      <c r="B23" s="47"/>
      <c r="C23" s="47"/>
      <c r="D23" s="47"/>
      <c r="E23" s="47"/>
      <c r="F23" s="3">
        <f>SUMIF($C$4:$C$20,"1",F4:F20)</f>
        <v>18</v>
      </c>
      <c r="G23" s="2"/>
    </row>
  </sheetData>
  <mergeCells count="6">
    <mergeCell ref="A23:E23"/>
    <mergeCell ref="A1:G1"/>
    <mergeCell ref="A2:D2"/>
    <mergeCell ref="E2:G2"/>
    <mergeCell ref="A21:B21"/>
    <mergeCell ref="A22:E22"/>
  </mergeCells>
  <phoneticPr fontId="14" type="noConversion"/>
  <pageMargins left="0.7" right="0.7" top="0.75" bottom="0.75" header="0.3" footer="0.3"/>
  <pageSetup paperSize="9" orientation="portrait" horizontalDpi="2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</sheetPr>
  <dimension ref="A1:J21"/>
  <sheetViews>
    <sheetView zoomScale="85" zoomScaleNormal="85" workbookViewId="0">
      <pane ySplit="3" topLeftCell="A4" activePane="bottomLeft" state="frozen"/>
      <selection pane="bottomLeft" activeCell="D13" sqref="D13"/>
    </sheetView>
  </sheetViews>
  <sheetFormatPr defaultColWidth="9" defaultRowHeight="13.5" x14ac:dyDescent="0.15"/>
  <cols>
    <col min="1" max="1" width="14.25" customWidth="1"/>
    <col min="2" max="2" width="8.875" customWidth="1"/>
    <col min="3" max="3" width="6" style="1" customWidth="1"/>
    <col min="4" max="4" width="15.125" customWidth="1"/>
    <col min="5" max="5" width="14.75" customWidth="1"/>
    <col min="6" max="6" width="18.75" style="1" customWidth="1"/>
    <col min="7" max="7" width="50.875" customWidth="1"/>
  </cols>
  <sheetData>
    <row r="1" spans="1:10" ht="30" customHeight="1" x14ac:dyDescent="0.15">
      <c r="A1" s="48" t="s">
        <v>11</v>
      </c>
      <c r="B1" s="48"/>
      <c r="C1" s="48"/>
      <c r="D1" s="48"/>
      <c r="E1" s="48"/>
      <c r="F1" s="48"/>
      <c r="G1" s="48"/>
    </row>
    <row r="2" spans="1:10" ht="30" customHeight="1" x14ac:dyDescent="0.15">
      <c r="A2" s="49" t="s">
        <v>34</v>
      </c>
      <c r="B2" s="49"/>
      <c r="C2" s="49"/>
      <c r="D2" s="49"/>
      <c r="E2" s="50" t="s">
        <v>13</v>
      </c>
      <c r="F2" s="50"/>
      <c r="G2" s="50"/>
    </row>
    <row r="3" spans="1:10" ht="18.75" x14ac:dyDescent="0.15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10" ht="18.75" x14ac:dyDescent="0.15">
      <c r="A4" s="4">
        <v>45537</v>
      </c>
      <c r="B4" s="5">
        <f t="shared" ref="B4:B18" si="0">IF(A4="","",A4)</f>
        <v>45537</v>
      </c>
      <c r="C4" s="3"/>
      <c r="D4" s="6">
        <v>0.70833333333333337</v>
      </c>
      <c r="E4" s="6">
        <v>0.79166666666666663</v>
      </c>
      <c r="F4" s="7">
        <f>INT((HOUR(E4-D4)*60+MINUTE(E4-D4))/6)/10</f>
        <v>2</v>
      </c>
      <c r="G4" s="5" t="s">
        <v>45</v>
      </c>
      <c r="H4" s="8"/>
      <c r="J4" s="13"/>
    </row>
    <row r="5" spans="1:10" ht="18.75" x14ac:dyDescent="0.15">
      <c r="A5" s="9">
        <v>45539</v>
      </c>
      <c r="B5" s="5">
        <f t="shared" si="0"/>
        <v>45539</v>
      </c>
      <c r="C5" s="3"/>
      <c r="D5" s="10">
        <v>0.70833333333333337</v>
      </c>
      <c r="E5" s="10">
        <v>0.75</v>
      </c>
      <c r="F5" s="7">
        <f>INT((HOUR(E5-D5)*60+MINUTE(E5-D5))/6)/10-0.5</f>
        <v>0.5</v>
      </c>
      <c r="G5" s="2" t="s">
        <v>45</v>
      </c>
    </row>
    <row r="6" spans="1:10" ht="18.75" x14ac:dyDescent="0.15">
      <c r="A6" s="9">
        <v>45544</v>
      </c>
      <c r="B6" s="5">
        <f t="shared" si="0"/>
        <v>45544</v>
      </c>
      <c r="C6" s="3"/>
      <c r="D6" s="10">
        <v>0.70833333333333337</v>
      </c>
      <c r="E6" s="10">
        <v>0.75</v>
      </c>
      <c r="F6" s="7">
        <f t="shared" ref="F6:F17" si="1">INT((HOUR(E6-D6)*60+MINUTE(E6-D6))/6)/10</f>
        <v>1</v>
      </c>
      <c r="G6" s="2" t="s">
        <v>45</v>
      </c>
    </row>
    <row r="7" spans="1:10" ht="18.75" x14ac:dyDescent="0.15">
      <c r="A7" s="9">
        <v>45553</v>
      </c>
      <c r="B7" s="5">
        <f t="shared" si="0"/>
        <v>45553</v>
      </c>
      <c r="C7" s="3"/>
      <c r="D7" s="10">
        <v>0.70833333333333337</v>
      </c>
      <c r="E7" s="10">
        <v>0.8125</v>
      </c>
      <c r="F7" s="7">
        <f t="shared" si="1"/>
        <v>2.5</v>
      </c>
      <c r="G7" s="2" t="s">
        <v>46</v>
      </c>
    </row>
    <row r="8" spans="1:10" ht="18.75" x14ac:dyDescent="0.15">
      <c r="A8" s="9">
        <v>45558</v>
      </c>
      <c r="B8" s="5">
        <f t="shared" si="0"/>
        <v>45558</v>
      </c>
      <c r="C8" s="3"/>
      <c r="D8" s="10">
        <v>0.70833333333333337</v>
      </c>
      <c r="E8" s="10">
        <v>0.8125</v>
      </c>
      <c r="F8" s="7">
        <f t="shared" si="1"/>
        <v>2.5</v>
      </c>
      <c r="G8" s="2" t="s">
        <v>45</v>
      </c>
    </row>
    <row r="9" spans="1:10" ht="18.75" x14ac:dyDescent="0.15">
      <c r="A9" s="9">
        <v>45560</v>
      </c>
      <c r="B9" s="5">
        <f t="shared" si="0"/>
        <v>45560</v>
      </c>
      <c r="C9" s="3"/>
      <c r="D9" s="10">
        <v>0.70833333333333337</v>
      </c>
      <c r="E9" s="10">
        <v>0.79166666666666663</v>
      </c>
      <c r="F9" s="7">
        <f t="shared" si="1"/>
        <v>2</v>
      </c>
      <c r="G9" s="2" t="s">
        <v>45</v>
      </c>
    </row>
    <row r="10" spans="1:10" ht="18.75" x14ac:dyDescent="0.15">
      <c r="A10" s="9"/>
      <c r="B10" s="5" t="str">
        <f t="shared" si="0"/>
        <v/>
      </c>
      <c r="C10" s="3"/>
      <c r="D10" s="10"/>
      <c r="E10" s="10"/>
      <c r="F10" s="7">
        <f t="shared" si="1"/>
        <v>0</v>
      </c>
      <c r="G10" s="2"/>
    </row>
    <row r="11" spans="1:10" ht="18.75" x14ac:dyDescent="0.15">
      <c r="A11" s="9"/>
      <c r="B11" s="5" t="str">
        <f t="shared" si="0"/>
        <v/>
      </c>
      <c r="C11" s="3"/>
      <c r="D11" s="10"/>
      <c r="E11" s="10"/>
      <c r="F11" s="7">
        <f t="shared" si="1"/>
        <v>0</v>
      </c>
      <c r="G11" s="2"/>
    </row>
    <row r="12" spans="1:10" ht="18.75" x14ac:dyDescent="0.15">
      <c r="A12" s="9"/>
      <c r="B12" s="5" t="str">
        <f t="shared" si="0"/>
        <v/>
      </c>
      <c r="C12" s="3"/>
      <c r="D12" s="10"/>
      <c r="E12" s="10"/>
      <c r="F12" s="7">
        <f t="shared" si="1"/>
        <v>0</v>
      </c>
      <c r="G12" s="40"/>
      <c r="H12" s="12"/>
    </row>
    <row r="13" spans="1:10" ht="18.75" x14ac:dyDescent="0.15">
      <c r="A13" s="9"/>
      <c r="B13" s="5" t="str">
        <f>IF(A13="","",A13)</f>
        <v/>
      </c>
      <c r="C13" s="3"/>
      <c r="D13" s="10"/>
      <c r="E13" s="10"/>
      <c r="F13" s="7">
        <f t="shared" si="1"/>
        <v>0</v>
      </c>
      <c r="G13" s="2"/>
    </row>
    <row r="14" spans="1:10" ht="18.75" x14ac:dyDescent="0.15">
      <c r="A14" s="9"/>
      <c r="B14" s="5" t="str">
        <f>IF(A14="","",A14)</f>
        <v/>
      </c>
      <c r="C14" s="3"/>
      <c r="D14" s="10"/>
      <c r="E14" s="10"/>
      <c r="F14" s="7">
        <f t="shared" si="1"/>
        <v>0</v>
      </c>
      <c r="G14" s="2"/>
      <c r="H14" s="12"/>
    </row>
    <row r="15" spans="1:10" ht="18.75" x14ac:dyDescent="0.15">
      <c r="A15" s="9"/>
      <c r="B15" s="5" t="str">
        <f t="shared" ref="B15:B16" si="2">IF(A15="","",A15)</f>
        <v/>
      </c>
      <c r="C15" s="3"/>
      <c r="D15" s="10"/>
      <c r="E15" s="10"/>
      <c r="F15" s="7">
        <f t="shared" si="1"/>
        <v>0</v>
      </c>
      <c r="G15" s="2"/>
      <c r="I15" s="14"/>
    </row>
    <row r="16" spans="1:10" ht="18.75" x14ac:dyDescent="0.15">
      <c r="A16" s="9"/>
      <c r="B16" s="5" t="str">
        <f t="shared" si="2"/>
        <v/>
      </c>
      <c r="C16" s="3"/>
      <c r="D16" s="10"/>
      <c r="E16" s="10"/>
      <c r="F16" s="7">
        <f t="shared" si="1"/>
        <v>0</v>
      </c>
      <c r="G16" s="2"/>
      <c r="I16" t="s">
        <v>25</v>
      </c>
    </row>
    <row r="17" spans="1:9" ht="18.75" x14ac:dyDescent="0.15">
      <c r="A17" s="9"/>
      <c r="B17" s="5" t="str">
        <f t="shared" si="0"/>
        <v/>
      </c>
      <c r="C17" s="3"/>
      <c r="D17" s="10"/>
      <c r="E17" s="10"/>
      <c r="F17" s="7">
        <f t="shared" si="1"/>
        <v>0</v>
      </c>
      <c r="G17" s="2"/>
      <c r="I17" s="14"/>
    </row>
    <row r="18" spans="1:9" ht="18.75" x14ac:dyDescent="0.15">
      <c r="A18" s="9"/>
      <c r="B18" s="5" t="str">
        <f t="shared" si="0"/>
        <v/>
      </c>
      <c r="C18" s="3"/>
      <c r="D18" s="10"/>
      <c r="E18" s="10"/>
      <c r="F18" s="3"/>
      <c r="G18" s="2"/>
      <c r="I18" t="s">
        <v>25</v>
      </c>
    </row>
    <row r="19" spans="1:9" ht="18.75" x14ac:dyDescent="0.15">
      <c r="A19" s="51" t="s">
        <v>21</v>
      </c>
      <c r="B19" s="51"/>
      <c r="C19" s="3"/>
      <c r="D19" s="10"/>
      <c r="E19" s="10"/>
      <c r="F19" s="3">
        <f>SUM(F4:F18)</f>
        <v>10.5</v>
      </c>
      <c r="G19" s="2"/>
    </row>
    <row r="20" spans="1:9" ht="44.25" customHeight="1" x14ac:dyDescent="0.15">
      <c r="A20" s="47" t="s">
        <v>22</v>
      </c>
      <c r="B20" s="47"/>
      <c r="C20" s="47"/>
      <c r="D20" s="47"/>
      <c r="E20" s="47"/>
      <c r="F20" s="3">
        <f>SUMIF($C$4:$C$18,"",F4:F18)</f>
        <v>10.5</v>
      </c>
      <c r="G20" s="2"/>
    </row>
    <row r="21" spans="1:9" ht="51.75" customHeight="1" x14ac:dyDescent="0.15">
      <c r="A21" s="47" t="s">
        <v>23</v>
      </c>
      <c r="B21" s="47"/>
      <c r="C21" s="47"/>
      <c r="D21" s="47"/>
      <c r="E21" s="47"/>
      <c r="F21" s="3">
        <f>SUMIF($C$4:$C$18,"1",F4:F18)</f>
        <v>0</v>
      </c>
      <c r="G21" s="2"/>
    </row>
  </sheetData>
  <mergeCells count="6">
    <mergeCell ref="A21:E21"/>
    <mergeCell ref="A1:G1"/>
    <mergeCell ref="A2:D2"/>
    <mergeCell ref="E2:G2"/>
    <mergeCell ref="A19:B19"/>
    <mergeCell ref="A20:E20"/>
  </mergeCells>
  <phoneticPr fontId="14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</vt:i4>
      </vt:variant>
    </vt:vector>
  </HeadingPairs>
  <TitlesOfParts>
    <vt:vector size="12" baseType="lpstr">
      <vt:lpstr>汇总</vt:lpstr>
      <vt:lpstr>潘德胜</vt:lpstr>
      <vt:lpstr>刘剑</vt:lpstr>
      <vt:lpstr>何兆辉</vt:lpstr>
      <vt:lpstr>周俊杰</vt:lpstr>
      <vt:lpstr>张关南</vt:lpstr>
      <vt:lpstr>郑枫</vt:lpstr>
      <vt:lpstr>麦国鹏</vt:lpstr>
      <vt:lpstr>廖曦龙</vt:lpstr>
      <vt:lpstr>许川</vt:lpstr>
      <vt:lpstr>黄初旺</vt:lpstr>
      <vt:lpstr>汇总!Print_Area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2024-09-01T02:02:17Z</cp:lastPrinted>
  <dcterms:created xsi:type="dcterms:W3CDTF">2006-09-13T11:21:00Z</dcterms:created>
  <dcterms:modified xsi:type="dcterms:W3CDTF">2026-03-02T05:50:50Z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F82F78CA5208475E90FEC44783F3AB5E_12</vt:lpwstr>
  </property>
  <property fmtid="{D5CDD505-2E9C-101B-9397-08002B2CF9AE}" pid="3" name="KSOProductBuildVer">
    <vt:lpwstr>2052-11.1.0.14309</vt:lpwstr>
  </property>
</Properties>
</file>